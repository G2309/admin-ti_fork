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positorios\UVG\2026\admin-ti\knowledge\proyecto\costos\"/>
    </mc:Choice>
  </mc:AlternateContent>
  <xr:revisionPtr revIDLastSave="0" documentId="13_ncr:1_{F0144A04-FB09-4176-9D54-0751969AD42A}" xr6:coauthVersionLast="47" xr6:coauthVersionMax="47" xr10:uidLastSave="{00000000-0000-0000-0000-000000000000}"/>
  <bookViews>
    <workbookView xWindow="-28920" yWindow="5235" windowWidth="29040" windowHeight="15720" activeTab="7" xr2:uid="{00000000-000D-0000-FFFF-FFFF00000000}"/>
  </bookViews>
  <sheets>
    <sheet name="Inputs" sheetId="1" r:id="rId1"/>
    <sheet name="Scrum" sheetId="2" r:id="rId2"/>
    <sheet name="Kanban" sheetId="3" r:id="rId3"/>
    <sheet name="Scrumban" sheetId="4" r:id="rId4"/>
    <sheet name="XP + Scrumban" sheetId="5" r:id="rId5"/>
    <sheet name="Margen bruto" sheetId="6" r:id="rId6"/>
    <sheet name="ROI por metodología" sheetId="7" r:id="rId7"/>
    <sheet name="Riesgos" sheetId="8" r:id="rId8"/>
    <sheet name="Costos adicionales" sheetId="9" r:id="rId9"/>
    <sheet name="TMAR" sheetId="10" r:id="rId10"/>
    <sheet name="ROA" sheetId="11" r:id="rId11"/>
    <sheet name="Tareas (sin XP)" sheetId="12" r:id="rId12"/>
    <sheet name="Tareas (con XP)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8" l="1"/>
  <c r="I6" i="8"/>
  <c r="I7" i="8"/>
  <c r="I8" i="8"/>
  <c r="I9" i="8"/>
  <c r="I10" i="8"/>
  <c r="I11" i="8"/>
  <c r="I12" i="8"/>
  <c r="I4" i="8"/>
  <c r="D136" i="13"/>
  <c r="D136" i="12"/>
  <c r="B11" i="11"/>
  <c r="B7" i="10"/>
  <c r="B6" i="10"/>
  <c r="B8" i="10" s="1"/>
  <c r="B5" i="10"/>
  <c r="B23" i="9"/>
  <c r="B22" i="9"/>
  <c r="B21" i="9"/>
  <c r="B20" i="9"/>
  <c r="B19" i="9"/>
  <c r="B24" i="9" s="1"/>
  <c r="B18" i="9"/>
  <c r="B17" i="9"/>
  <c r="B11" i="9"/>
  <c r="B10" i="9"/>
  <c r="B12" i="9" s="1"/>
  <c r="B9" i="9"/>
  <c r="B8" i="9"/>
  <c r="B7" i="9"/>
  <c r="B6" i="9"/>
  <c r="B5" i="9"/>
  <c r="F6" i="7"/>
  <c r="F5" i="7"/>
  <c r="F4" i="7"/>
  <c r="E28" i="5"/>
  <c r="B28" i="5"/>
  <c r="E18" i="5"/>
  <c r="B18" i="5"/>
  <c r="E17" i="5"/>
  <c r="B17" i="5"/>
  <c r="E6" i="5"/>
  <c r="E7" i="5" s="1"/>
  <c r="B6" i="5"/>
  <c r="B7" i="5" s="1"/>
  <c r="E28" i="4"/>
  <c r="B28" i="4"/>
  <c r="E18" i="4"/>
  <c r="B18" i="4"/>
  <c r="E17" i="4"/>
  <c r="B17" i="4"/>
  <c r="B9" i="4"/>
  <c r="B7" i="4"/>
  <c r="B8" i="4" s="1"/>
  <c r="B10" i="4" s="1"/>
  <c r="E6" i="4"/>
  <c r="E7" i="4" s="1"/>
  <c r="B6" i="4"/>
  <c r="E24" i="3"/>
  <c r="B24" i="3"/>
  <c r="E8" i="3"/>
  <c r="B8" i="3"/>
  <c r="B9" i="3" s="1"/>
  <c r="E7" i="3"/>
  <c r="E9" i="3" s="1"/>
  <c r="B7" i="3"/>
  <c r="E6" i="3"/>
  <c r="B6" i="3"/>
  <c r="E21" i="2"/>
  <c r="B21" i="2"/>
  <c r="E7" i="2"/>
  <c r="E9" i="2" s="1"/>
  <c r="E6" i="2"/>
  <c r="B6" i="2"/>
  <c r="B7" i="2" s="1"/>
  <c r="B76" i="1"/>
  <c r="F7" i="7" s="1"/>
  <c r="D55" i="1"/>
  <c r="D54" i="1"/>
  <c r="D53" i="1"/>
  <c r="D52" i="1"/>
  <c r="D51" i="1"/>
  <c r="D50" i="1"/>
  <c r="D56" i="1" s="1"/>
  <c r="E5" i="5" s="1"/>
  <c r="E11" i="5" s="1"/>
  <c r="D45" i="1"/>
  <c r="D44" i="1"/>
  <c r="D46" i="1" s="1"/>
  <c r="B5" i="5" s="1"/>
  <c r="B11" i="5" s="1"/>
  <c r="D43" i="1"/>
  <c r="D42" i="1"/>
  <c r="D41" i="1"/>
  <c r="D40" i="1"/>
  <c r="D35" i="1"/>
  <c r="D34" i="1"/>
  <c r="D36" i="1" s="1"/>
  <c r="D33" i="1"/>
  <c r="D32" i="1"/>
  <c r="D31" i="1"/>
  <c r="D26" i="1"/>
  <c r="D25" i="1"/>
  <c r="D24" i="1"/>
  <c r="D23" i="1"/>
  <c r="D27" i="1" s="1"/>
  <c r="D22" i="1"/>
  <c r="B9" i="2" l="1"/>
  <c r="B8" i="2"/>
  <c r="B10" i="2" s="1"/>
  <c r="E9" i="4"/>
  <c r="E8" i="4"/>
  <c r="E10" i="4" s="1"/>
  <c r="E12" i="5"/>
  <c r="E20" i="5"/>
  <c r="E19" i="5"/>
  <c r="E11" i="3"/>
  <c r="E10" i="3"/>
  <c r="E25" i="4"/>
  <c r="B25" i="4"/>
  <c r="E25" i="5"/>
  <c r="B25" i="5"/>
  <c r="E18" i="2"/>
  <c r="B18" i="2"/>
  <c r="B12" i="5"/>
  <c r="B20" i="5"/>
  <c r="B19" i="5"/>
  <c r="J10" i="8"/>
  <c r="B5" i="3"/>
  <c r="J8" i="8"/>
  <c r="J7" i="8"/>
  <c r="B5" i="2"/>
  <c r="B11" i="2" s="1"/>
  <c r="J6" i="8"/>
  <c r="J5" i="8"/>
  <c r="B5" i="4"/>
  <c r="B11" i="4" s="1"/>
  <c r="J4" i="8"/>
  <c r="J12" i="8"/>
  <c r="J11" i="8"/>
  <c r="J9" i="8"/>
  <c r="E9" i="5"/>
  <c r="E8" i="5"/>
  <c r="E10" i="5" s="1"/>
  <c r="B10" i="3"/>
  <c r="B11" i="3"/>
  <c r="E5" i="4"/>
  <c r="E11" i="4" s="1"/>
  <c r="E5" i="2"/>
  <c r="E11" i="2" s="1"/>
  <c r="E5" i="3"/>
  <c r="B21" i="3"/>
  <c r="E21" i="3"/>
  <c r="B8" i="5"/>
  <c r="B10" i="5" s="1"/>
  <c r="B9" i="5"/>
  <c r="E8" i="2"/>
  <c r="E10" i="2" s="1"/>
  <c r="B12" i="2" l="1"/>
  <c r="B13" i="2"/>
  <c r="B17" i="2" s="1"/>
  <c r="B13" i="4"/>
  <c r="B24" i="4" s="1"/>
  <c r="B20" i="4"/>
  <c r="B19" i="4"/>
  <c r="B12" i="4"/>
  <c r="E13" i="4"/>
  <c r="E24" i="4" s="1"/>
  <c r="E20" i="4"/>
  <c r="E19" i="4"/>
  <c r="E12" i="4"/>
  <c r="B13" i="5"/>
  <c r="B24" i="5" s="1"/>
  <c r="E13" i="2"/>
  <c r="E17" i="2" s="1"/>
  <c r="E12" i="2"/>
  <c r="B13" i="3"/>
  <c r="B14" i="3" s="1"/>
  <c r="B16" i="3" s="1"/>
  <c r="B20" i="3" s="1"/>
  <c r="B12" i="3"/>
  <c r="B15" i="3" s="1"/>
  <c r="E13" i="5"/>
  <c r="E24" i="5" s="1"/>
  <c r="E13" i="3"/>
  <c r="E14" i="3" s="1"/>
  <c r="E16" i="3" s="1"/>
  <c r="E20" i="3" s="1"/>
  <c r="E12" i="3"/>
  <c r="E15" i="3" s="1"/>
  <c r="J13" i="8"/>
  <c r="E22" i="3" l="1"/>
  <c r="E23" i="3" s="1"/>
  <c r="E25" i="3" s="1"/>
  <c r="B22" i="3"/>
  <c r="B23" i="3" s="1"/>
  <c r="E26" i="4"/>
  <c r="B26" i="4"/>
  <c r="E19" i="2"/>
  <c r="B19" i="2"/>
  <c r="E26" i="5"/>
  <c r="B26" i="5"/>
  <c r="E20" i="2"/>
  <c r="E22" i="2" s="1"/>
  <c r="B27" i="4"/>
  <c r="E27" i="5"/>
  <c r="E29" i="5" s="1"/>
  <c r="B27" i="5"/>
  <c r="E27" i="4"/>
  <c r="E29" i="4" s="1"/>
  <c r="B20" i="2"/>
  <c r="C5" i="7" l="1"/>
  <c r="C5" i="6"/>
  <c r="B25" i="3"/>
  <c r="E29" i="3"/>
  <c r="E30" i="3" s="1"/>
  <c r="E27" i="3"/>
  <c r="E28" i="3" s="1"/>
  <c r="E26" i="3"/>
  <c r="E33" i="5"/>
  <c r="E34" i="5" s="1"/>
  <c r="E31" i="5"/>
  <c r="E32" i="5" s="1"/>
  <c r="E30" i="5"/>
  <c r="C4" i="7"/>
  <c r="B22" i="2"/>
  <c r="C4" i="6"/>
  <c r="E33" i="4"/>
  <c r="E34" i="4" s="1"/>
  <c r="E31" i="4"/>
  <c r="E32" i="4" s="1"/>
  <c r="E30" i="4"/>
  <c r="E26" i="2"/>
  <c r="E27" i="2" s="1"/>
  <c r="E24" i="2"/>
  <c r="E25" i="2" s="1"/>
  <c r="E23" i="2"/>
  <c r="B29" i="5"/>
  <c r="C7" i="6"/>
  <c r="C7" i="7"/>
  <c r="B29" i="4"/>
  <c r="C6" i="6"/>
  <c r="C6" i="7"/>
  <c r="B4" i="6" l="1"/>
  <c r="D4" i="6" s="1"/>
  <c r="E4" i="6" s="1"/>
  <c r="B26" i="2"/>
  <c r="B27" i="2" s="1"/>
  <c r="B24" i="2"/>
  <c r="B25" i="2" s="1"/>
  <c r="B4" i="7"/>
  <c r="D4" i="7" s="1"/>
  <c r="E4" i="7" s="1"/>
  <c r="B23" i="2"/>
  <c r="B31" i="4"/>
  <c r="B32" i="4" s="1"/>
  <c r="B33" i="4"/>
  <c r="B34" i="4" s="1"/>
  <c r="B6" i="6"/>
  <c r="D6" i="6" s="1"/>
  <c r="E6" i="6" s="1"/>
  <c r="B6" i="7"/>
  <c r="D6" i="7" s="1"/>
  <c r="E6" i="7" s="1"/>
  <c r="B30" i="4"/>
  <c r="B33" i="5"/>
  <c r="B34" i="5" s="1"/>
  <c r="B31" i="5"/>
  <c r="B32" i="5" s="1"/>
  <c r="B30" i="5"/>
  <c r="B7" i="6"/>
  <c r="D7" i="6" s="1"/>
  <c r="E7" i="6" s="1"/>
  <c r="B7" i="7"/>
  <c r="D7" i="7" s="1"/>
  <c r="E7" i="7" s="1"/>
  <c r="B5" i="7"/>
  <c r="D5" i="7" s="1"/>
  <c r="E5" i="7" s="1"/>
  <c r="B29" i="3"/>
  <c r="B30" i="3" s="1"/>
  <c r="B27" i="3"/>
  <c r="B28" i="3" s="1"/>
  <c r="B26" i="3"/>
  <c r="B5" i="6"/>
  <c r="D5" i="6" s="1"/>
  <c r="E5" i="6" s="1"/>
  <c r="G5" i="7" l="1"/>
  <c r="H5" i="7"/>
  <c r="H7" i="7"/>
  <c r="G7" i="7"/>
  <c r="H6" i="7"/>
  <c r="G6" i="7"/>
  <c r="H4" i="7"/>
  <c r="G4" i="7"/>
</calcChain>
</file>

<file path=xl/sharedStrings.xml><?xml version="1.0" encoding="utf-8"?>
<sst xmlns="http://schemas.openxmlformats.org/spreadsheetml/2006/main" count="1306" uniqueCount="402">
  <si>
    <t>INPUTS CENTRALIZADOS — UVG Admon. Proyectos TI</t>
  </si>
  <si>
    <t>1. Parámetros del proyecto</t>
  </si>
  <si>
    <t>Cantidad total de personas (Scrum/Scrumban/Kanban)</t>
  </si>
  <si>
    <t>Cantidad total de personas (XP + Scrumban)</t>
  </si>
  <si>
    <t>Cantidad total de épicas</t>
  </si>
  <si>
    <t>Cantidad total de historias</t>
  </si>
  <si>
    <t>Cantidad total de puntos de historia</t>
  </si>
  <si>
    <t>Cantidad total de tareas</t>
  </si>
  <si>
    <t>Tiempo de duración atómica sprint (días)</t>
  </si>
  <si>
    <t>Días laborales por mes</t>
  </si>
  <si>
    <t>Holgura estándar (Scrum/Kanban/Scrumban)</t>
  </si>
  <si>
    <t>Holgura XP + Scrumban</t>
  </si>
  <si>
    <t>Porcentaje de ganancia (margen) estándar</t>
  </si>
  <si>
    <t>Porcentaje de ganancia (margen) XP</t>
  </si>
  <si>
    <t>PBID (porción Build comprometida)</t>
  </si>
  <si>
    <t>PROM (porción Run reactiva)</t>
  </si>
  <si>
    <t>2. Equipo cliente (Scrum / Kanban / Scrumban)</t>
  </si>
  <si>
    <t>Rol</t>
  </si>
  <si>
    <t>FTE</t>
  </si>
  <si>
    <t>Salario mensual</t>
  </si>
  <si>
    <t>Costo mensual</t>
  </si>
  <si>
    <t>Product Owner</t>
  </si>
  <si>
    <t>Scrum Master</t>
  </si>
  <si>
    <t>Developer Senior</t>
  </si>
  <si>
    <t>Suma costo mensual cliente</t>
  </si>
  <si>
    <t>3. Equipo interno (Scrum / Kanban / Scrumban)</t>
  </si>
  <si>
    <t>Suma costo mensual interno</t>
  </si>
  <si>
    <t>4. Equipo XP + Scrumban (cliente)</t>
  </si>
  <si>
    <t>Coach</t>
  </si>
  <si>
    <t>Tracker / Tester</t>
  </si>
  <si>
    <t>Developer Junior</t>
  </si>
  <si>
    <t>Suma costo mensual XP cliente</t>
  </si>
  <si>
    <t>5. Equipo XP + Scrumban (interno)</t>
  </si>
  <si>
    <t>Suma costo mensual XP interno</t>
  </si>
  <si>
    <t>6. Parámetros específicos de Kanban</t>
  </si>
  <si>
    <t>Días totales de tareas (Kanban)</t>
  </si>
  <si>
    <t>Número de ejecutores (Kanban)</t>
  </si>
  <si>
    <t>Cycle Time mínimo (días)</t>
  </si>
  <si>
    <t>Cycle Time máximo (días)</t>
  </si>
  <si>
    <t>7. Parámetros específicos de XP + Scrumban</t>
  </si>
  <si>
    <t>Días totales de tareas (con XP)</t>
  </si>
  <si>
    <t>Número de ejecutores (XP + Scrumban)</t>
  </si>
  <si>
    <t>Cycle Time mínimo XP (días)</t>
  </si>
  <si>
    <t>Cycle Time máximo XP (días)</t>
  </si>
  <si>
    <t>8. TMAR (Tasa Mínima Aceptable de Rendimiento)</t>
  </si>
  <si>
    <t>Inflación anual</t>
  </si>
  <si>
    <t>Prima por riesgo del proyecto</t>
  </si>
  <si>
    <t>Rendimiento mínimo esperado</t>
  </si>
  <si>
    <t>TMAR total</t>
  </si>
  <si>
    <t>Cálculo de costos — Scrum</t>
  </si>
  <si>
    <t>Vista cliente</t>
  </si>
  <si>
    <t>Vista interno</t>
  </si>
  <si>
    <t>Concepto</t>
  </si>
  <si>
    <t>Valor</t>
  </si>
  <si>
    <t>Burn rate mensual</t>
  </si>
  <si>
    <t>Velocidad promedio (SP/sprint)</t>
  </si>
  <si>
    <t>Cantidad de sprints necesarios</t>
  </si>
  <si>
    <t>Cantidad de sprints con buffer</t>
  </si>
  <si>
    <t>Duración estimada (días)</t>
  </si>
  <si>
    <t>Duración con buffer (días)</t>
  </si>
  <si>
    <t>Costo por sprint</t>
  </si>
  <si>
    <t>Costo equipo del proyecto</t>
  </si>
  <si>
    <t>Costo equipo (con buffer)</t>
  </si>
  <si>
    <t>Cálculo del precio cliente (patrón curso)</t>
  </si>
  <si>
    <t>(+) Costos adicionales</t>
  </si>
  <si>
    <t>(+) Reserva de riesgos (Σ EMV)</t>
  </si>
  <si>
    <t>(=) Presupuesto con riesgos (inversión)</t>
  </si>
  <si>
    <t>Margen de ganancia (entrada)</t>
  </si>
  <si>
    <t>Precio cliente = Inversión/(1-margen)</t>
  </si>
  <si>
    <t>Precio cliente redondeado (CEILING 1000)</t>
  </si>
  <si>
    <t>Beneficio neto = Precio − Inversión</t>
  </si>
  <si>
    <t>ROI = Beneficio neto / Inversión</t>
  </si>
  <si>
    <t>Margen bruto absoluto (Precio − Costo)</t>
  </si>
  <si>
    <t>Margen bruto % (inversa)</t>
  </si>
  <si>
    <t>Cálculo de costos — Kanban</t>
  </si>
  <si>
    <t>Días totales de tareas</t>
  </si>
  <si>
    <t>Número de ejecutores</t>
  </si>
  <si>
    <t>Cycle Time promedio (días/tarea)</t>
  </si>
  <si>
    <t>Throughput diario (tareas/día)</t>
  </si>
  <si>
    <t>Throughput mensual</t>
  </si>
  <si>
    <t>Días operativos</t>
  </si>
  <si>
    <t>Meses totales</t>
  </si>
  <si>
    <t>Días operativos (buffer)</t>
  </si>
  <si>
    <t>Meses totales (buffer)</t>
  </si>
  <si>
    <t>Cálculo de costos — Scrumban</t>
  </si>
  <si>
    <t>Desglose BID / ROM (Scrumban)</t>
  </si>
  <si>
    <t>Valor cliente</t>
  </si>
  <si>
    <t>Valor interno</t>
  </si>
  <si>
    <t>PBID (80 %)</t>
  </si>
  <si>
    <t>PROM (20 %)</t>
  </si>
  <si>
    <t>Costo por sprint BID</t>
  </si>
  <si>
    <t>Costo por sprint ROM</t>
  </si>
  <si>
    <t>Cálculo de costos — XP + Scrumban</t>
  </si>
  <si>
    <t>Margen bruto por metodología (debe coincidir con el margen de entrada)</t>
  </si>
  <si>
    <t>Metodología</t>
  </si>
  <si>
    <t>Precio cliente</t>
  </si>
  <si>
    <t>Inversión</t>
  </si>
  <si>
    <t>Margen bruto absoluto</t>
  </si>
  <si>
    <t>% Margen (inversa)</t>
  </si>
  <si>
    <t>Scrum</t>
  </si>
  <si>
    <t>Kanban</t>
  </si>
  <si>
    <t>Scrumban</t>
  </si>
  <si>
    <t>XP + Scrumban</t>
  </si>
  <si>
    <t>ROI por metodología vs TMAR (vista cliente — incluye costos adicionales y riesgos)</t>
  </si>
  <si>
    <t>Inversión (costo + adic + riesgos)</t>
  </si>
  <si>
    <t>Beneficio neto</t>
  </si>
  <si>
    <t>ROI</t>
  </si>
  <si>
    <t>TMAR</t>
  </si>
  <si>
    <t>¿ROI &gt; TMAR?</t>
  </si>
  <si>
    <t>Veredicto</t>
  </si>
  <si>
    <t>Matriz de riesgos del proyecto</t>
  </si>
  <si>
    <t>ID</t>
  </si>
  <si>
    <t>Riesgo</t>
  </si>
  <si>
    <t>Tipo</t>
  </si>
  <si>
    <t>Probabilidad cual.</t>
  </si>
  <si>
    <t>Impacto cual.</t>
  </si>
  <si>
    <t>Nivel</t>
  </si>
  <si>
    <t>Probabilidad numérica</t>
  </si>
  <si>
    <t>Impacto (meses)</t>
  </si>
  <si>
    <t>Costo del riesgo (GTQ)</t>
  </si>
  <si>
    <t>EMV (GTQ)</t>
  </si>
  <si>
    <t>Mitigación</t>
  </si>
  <si>
    <t>Responsable</t>
  </si>
  <si>
    <t>R1</t>
  </si>
  <si>
    <t>Cambios de requerimientos frecuentes por parte del cliente</t>
  </si>
  <si>
    <t>Alcance</t>
  </si>
  <si>
    <t>Media</t>
  </si>
  <si>
    <t>Alto</t>
  </si>
  <si>
    <t>DoR firme y control de cambios documentado por el Product Owner.</t>
  </si>
  <si>
    <t>R2</t>
  </si>
  <si>
    <t>Retraso técnico por dependencias de infraestructura cloud</t>
  </si>
  <si>
    <t>Tiempo</t>
  </si>
  <si>
    <t>Medio</t>
  </si>
  <si>
    <t>Entorno de pruebas paralelo desde Sprint 1; proveedor cloud con SLA definido.</t>
  </si>
  <si>
    <t>Developer líder</t>
  </si>
  <si>
    <t>R3</t>
  </si>
  <si>
    <t>Falta de comunicación entre equipo y stakeholders</t>
  </si>
  <si>
    <t>Comunicación</t>
  </si>
  <si>
    <t>Baja</t>
  </si>
  <si>
    <t>Canales formales (Slack + actas de Sprint Review).</t>
  </si>
  <si>
    <t>R4</t>
  </si>
  <si>
    <t>Falta de involucramiento por parte del cliente</t>
  </si>
  <si>
    <t>Calendario fijo de validaciones quincenales con el cliente UVG.</t>
  </si>
  <si>
    <t>R5</t>
  </si>
  <si>
    <t>Rotación o indisponibilidad temporal de un miembro del equipo</t>
  </si>
  <si>
    <t>Personal</t>
  </si>
  <si>
    <t>Documentación técnica continua y pair programming.</t>
  </si>
  <si>
    <t>R6</t>
  </si>
  <si>
    <t>Falla o indisponibilidad del proveedor cloud</t>
  </si>
  <si>
    <t>Proveedor</t>
  </si>
  <si>
    <t>Bajo</t>
  </si>
  <si>
    <t>SLA contractual con penalidades; plan de contingencia en segundo proveedor.</t>
  </si>
  <si>
    <t>R7</t>
  </si>
  <si>
    <t>Baja adopción del sistema por estudiantes de diversificado</t>
  </si>
  <si>
    <t>Cliente / Usuario</t>
  </si>
  <si>
    <t>Pruebas de usabilidad Sprint 8; comunicación con Dirección de Admisiones.</t>
  </si>
  <si>
    <t>R8</t>
  </si>
  <si>
    <t>Exposición o fuga de datos personales de estudiantes</t>
  </si>
  <si>
    <t>Técnico / Legal</t>
  </si>
  <si>
    <t>Crítico</t>
  </si>
  <si>
    <t>Cifrado en tránsito y reposo, revisión de seguridad por sprint, NDA.</t>
  </si>
  <si>
    <t>Developer (seguridad)</t>
  </si>
  <si>
    <t>R9</t>
  </si>
  <si>
    <t>Modificación del pensum UVG 2026 durante el desarrollo</t>
  </si>
  <si>
    <t>Catálogo de carreras actualizable sin rediseño del motor de recomendación.</t>
  </si>
  <si>
    <t>Reserva de contingencia (Σ EMV)</t>
  </si>
  <si>
    <t>Costos adicionales (insumos / infraestructura)</t>
  </si>
  <si>
    <t>Constantes (mensual)</t>
  </si>
  <si>
    <t>Costos para 6 meses de desarrollo</t>
  </si>
  <si>
    <t>Insumo</t>
  </si>
  <si>
    <t>Valor mensual</t>
  </si>
  <si>
    <t>Valor total</t>
  </si>
  <si>
    <t>Suscripción Microsoft Office Business Standard (todos)</t>
  </si>
  <si>
    <t>Microsoft Office Business Standard (6 meses)</t>
  </si>
  <si>
    <t>Equipo de cómputo desarrollador (unidad)</t>
  </si>
  <si>
    <t>Equipo de cómputo (3 dev + 2 ejecutivo, 1 vez)</t>
  </si>
  <si>
    <t>Equipo de cómputo cargo ejecutivo (unidad)</t>
  </si>
  <si>
    <t>Claude Team Pro (6 meses)</t>
  </si>
  <si>
    <t>Suscripción Claude Team Pro (equipo)</t>
  </si>
  <si>
    <t>Internet residencial Tigo (6 meses)</t>
  </si>
  <si>
    <t>Internet residencial Tigo (todos)</t>
  </si>
  <si>
    <t>Luz EEGSA (6 meses)</t>
  </si>
  <si>
    <t>Luz EEGSA 500 kWh</t>
  </si>
  <si>
    <t>Google Colab Pro (6 meses)</t>
  </si>
  <si>
    <t>Licencia Google Colab Pro</t>
  </si>
  <si>
    <t>Infraestructura cloud (6 meses)</t>
  </si>
  <si>
    <t>Infraestructura cloud</t>
  </si>
  <si>
    <t>Total 6 meses</t>
  </si>
  <si>
    <t>Costos para 12 meses de desarrollo</t>
  </si>
  <si>
    <t>Microsoft Office Business Standard (12 meses)</t>
  </si>
  <si>
    <t>Claude Team Pro (12 meses)</t>
  </si>
  <si>
    <t>Internet residencial Tigo (12 meses)</t>
  </si>
  <si>
    <t>Luz EEGSA (12 meses)</t>
  </si>
  <si>
    <t>Google Colab Pro (12 meses)</t>
  </si>
  <si>
    <t>Infraestructura cloud (12 meses)</t>
  </si>
  <si>
    <t>Total 12 meses</t>
  </si>
  <si>
    <t>TMAR — Tasa Mínima Aceptable de Rendimiento</t>
  </si>
  <si>
    <t>Composición</t>
  </si>
  <si>
    <t>Componente</t>
  </si>
  <si>
    <t>Comentario</t>
  </si>
  <si>
    <t>El dinero se deprecia 5 % al año.</t>
  </si>
  <si>
    <t>Proyecto de complejidad técnica intermedia.</t>
  </si>
  <si>
    <t>Meta de la empresa proveedora.</t>
  </si>
  <si>
    <t>Tabla orientativa de riesgo</t>
  </si>
  <si>
    <t>Tipo de proyecto</t>
  </si>
  <si>
    <t>Riesgo sugerido</t>
  </si>
  <si>
    <t>Muy estable</t>
  </si>
  <si>
    <t>3 % – 5 %</t>
  </si>
  <si>
    <t>Reemplazo de sistema con requisitos cerrados.</t>
  </si>
  <si>
    <t>Normal</t>
  </si>
  <si>
    <t>6 % – 10 %</t>
  </si>
  <si>
    <t>Caso típico de proyecto interno.</t>
  </si>
  <si>
    <t>Muy riesgoso</t>
  </si>
  <si>
    <t>12 % – 20 %</t>
  </si>
  <si>
    <t>Innovación, tecnología nueva, alta incertidumbre.</t>
  </si>
  <si>
    <t>ROA — Return on Assets (empresa proveedora)</t>
  </si>
  <si>
    <t>Activos de la empresa</t>
  </si>
  <si>
    <t>Activo</t>
  </si>
  <si>
    <t>Valor (GTQ)</t>
  </si>
  <si>
    <t>Laptops</t>
  </si>
  <si>
    <t>Servidores</t>
  </si>
  <si>
    <t>Licencias</t>
  </si>
  <si>
    <t>Oficina / infraestructura</t>
  </si>
  <si>
    <t>Equipo de testing</t>
  </si>
  <si>
    <t>Mobiliario / redes</t>
  </si>
  <si>
    <t>Total activos</t>
  </si>
  <si>
    <t>Tareas (sin XP)</t>
  </si>
  <si>
    <t>Épica</t>
  </si>
  <si>
    <t>Historia de usuario</t>
  </si>
  <si>
    <t>Contenido</t>
  </si>
  <si>
    <t>Cantidad de días</t>
  </si>
  <si>
    <t>EP01</t>
  </si>
  <si>
    <t>EP01-US01</t>
  </si>
  <si>
    <t>Crear tabla de usuarios en base de datos.</t>
  </si>
  <si>
    <t>Crear endpoint para registro de usuario.</t>
  </si>
  <si>
    <t>Implementar hashing seguro de contraseña.</t>
  </si>
  <si>
    <t>Diseñar pantalla de registro.</t>
  </si>
  <si>
    <t>Implementar formulario de registro con validaciones.</t>
  </si>
  <si>
    <t>Implementar pantalla de confirmación de registro exitoso.</t>
  </si>
  <si>
    <t>EP01-US02</t>
  </si>
  <si>
    <t>Crear tabla de perfil académico en base de datos.</t>
  </si>
  <si>
    <t>Crear endpoints para guardar y actualizar información académica.</t>
  </si>
  <si>
    <t>Implementar validaciones de campos del perfil académico.</t>
  </si>
  <si>
    <t>Diseñar sección de perfil académico.</t>
  </si>
  <si>
    <t>Implementar formulario de perfil académico con validaciones.</t>
  </si>
  <si>
    <t>EP01-US03</t>
  </si>
  <si>
    <t>Crear tabla de experiencias en base de datos.</t>
  </si>
  <si>
    <t>Crear endpoints para gestión de experiencias.</t>
  </si>
  <si>
    <t>Implementar validaciones para el tipo y campos de experiencia.</t>
  </si>
  <si>
    <t>Diseñar componente de lista dinámica de experiencias.</t>
  </si>
  <si>
    <t>Implementar formulario para agregar nueva experiencia.</t>
  </si>
  <si>
    <t>Implementar acciones de edición y eliminación de experiencias.</t>
  </si>
  <si>
    <t>EP01-US04</t>
  </si>
  <si>
    <t>Verificar funcionamiento de endpoints de actualización por sección.</t>
  </si>
  <si>
    <t>Implementar modo edición con pre-carga de datos actuales.</t>
  </si>
  <si>
    <t>Implementar confirmación visual tras guardar cambios.</t>
  </si>
  <si>
    <t>EP01-US05</t>
  </si>
  <si>
    <t>Implementar lógica de validación de campos obligatorios.</t>
  </si>
  <si>
    <t>Implementar indicadores visuales de error por campo.</t>
  </si>
  <si>
    <t>Implementar bloqueo del botón de guardado con campos incompletos.</t>
  </si>
  <si>
    <t>EP01-US06</t>
  </si>
  <si>
    <t>Crear endpoint para obtener resumen consolidado del perfil.</t>
  </si>
  <si>
    <t>Implementar cálculo de indicador de completitud del perfil.</t>
  </si>
  <si>
    <t>Diseñar vista de resumen del perfil.</t>
  </si>
  <si>
    <t>Implementar vista de resumen con estado de completitud por sección.</t>
  </si>
  <si>
    <t>Implementar accesos directos de edición desde el resumen.</t>
  </si>
  <si>
    <t>EP02</t>
  </si>
  <si>
    <t>EP02-US01</t>
  </si>
  <si>
    <t>Crear tabla de encuestas en base de datos.</t>
  </si>
  <si>
    <t>Crear tabla de secciones de encuesta en base de datos.</t>
  </si>
  <si>
    <t>Crear endpoint para obtener la encuesta con sus secciones.</t>
  </si>
  <si>
    <t>Implementar validación de acceso solo a usuarios con perfil completo.</t>
  </si>
  <si>
    <t>Diseñar pantalla principal de la encuesta.</t>
  </si>
  <si>
    <t>Implementar carga y visualización de la encuesta por secciones.</t>
  </si>
  <si>
    <t>EP02-US02</t>
  </si>
  <si>
    <t>Diseñar componente de navegación entre secciones de la encuesta.</t>
  </si>
  <si>
    <t>Implementar barra de progreso dinámica.</t>
  </si>
  <si>
    <t>Implementar visualización de preguntas por sección.</t>
  </si>
  <si>
    <t>Implementar diseño responsivo de la encuesta.</t>
  </si>
  <si>
    <t>EP02-US03</t>
  </si>
  <si>
    <t>Implementar lógica de detección de preguntas sin responder.</t>
  </si>
  <si>
    <t>Implementar indicadores visuales en preguntas pendientes.</t>
  </si>
  <si>
    <t>Implementar bloqueo de avance con preguntas sin responder.</t>
  </si>
  <si>
    <t>Implementar navegación directa a preguntas pendientes.</t>
  </si>
  <si>
    <t>EP02-US04</t>
  </si>
  <si>
    <t>Crear tabla de respuestas en base de datos.</t>
  </si>
  <si>
    <t>Crear endpoint para guardar respuestas parciales.</t>
  </si>
  <si>
    <t>Crear endpoint para recuperar progreso guardado.</t>
  </si>
  <si>
    <t>Implementar guardado automático al avanzar entre secciones.</t>
  </si>
  <si>
    <t>Implementar indicador visual de guardado automático.</t>
  </si>
  <si>
    <t>Implementar recuperación del progreso al reingresar a la encuesta.</t>
  </si>
  <si>
    <t>EP02-US05</t>
  </si>
  <si>
    <t>Diseñar pantalla de resumen de respuestas antes del envío.</t>
  </si>
  <si>
    <t>Implementar vista de resumen con todas las respuestas registradas.</t>
  </si>
  <si>
    <t>Implementar navegación de retorno a cualquier sección desde el resumen.</t>
  </si>
  <si>
    <t>Implementar guardado de cambios realizados desde el resumen.</t>
  </si>
  <si>
    <t>EP02-US06</t>
  </si>
  <si>
    <t>Crear endpoint para envío definitivo de la encuesta.</t>
  </si>
  <si>
    <t>Implementar lógica de bloqueo para evitar reenvíos.</t>
  </si>
  <si>
    <t>Implementar pantalla de confirmación de envío exitoso.</t>
  </si>
  <si>
    <t>Implementar envío de notificación o correo de confirmación al estudiante.</t>
  </si>
  <si>
    <t>EP03</t>
  </si>
  <si>
    <t>EP03-US01</t>
  </si>
  <si>
    <t>Crear tabla de carreras en base de datos.</t>
  </si>
  <si>
    <t>Crear endpoint para registrar una carrera.</t>
  </si>
  <si>
    <t>Implementar validación de carreras duplicadas.</t>
  </si>
  <si>
    <t>Diseñar pantalla de registro de carrera para administrador.</t>
  </si>
  <si>
    <t>Implementar formulario de registro de carrera con validaciones.</t>
  </si>
  <si>
    <t>EP03-US02</t>
  </si>
  <si>
    <t>Crear tabla de áreas de conocimiento en base de datos.</t>
  </si>
  <si>
    <t>Crear tabla de relación entre carreras y áreas de conocimiento.</t>
  </si>
  <si>
    <t>Crear endpoint para asignar áreas de conocimiento a una carrera.</t>
  </si>
  <si>
    <t>Implementar validación de al menos un área asignada por carrera.</t>
  </si>
  <si>
    <t>Implementar selector múltiple de áreas en el formulario de carrera.</t>
  </si>
  <si>
    <t>EP03-US03</t>
  </si>
  <si>
    <t>Crear endpoint para actualizar información de una carrera.</t>
  </si>
  <si>
    <t>EP03-US04</t>
  </si>
  <si>
    <t>Crear endpoint para obtener listado de carreras.</t>
  </si>
  <si>
    <t>Implementar búsqueda por nombre y área de conocimiento.</t>
  </si>
  <si>
    <t>Diseñar pantalla de listado de carreras.</t>
  </si>
  <si>
    <t>Implementar vista de listado con buscador.</t>
  </si>
  <si>
    <t>EP03-US05</t>
  </si>
  <si>
    <t>Crear endpoint para obtener detalle de una carrera.</t>
  </si>
  <si>
    <t>Diseñar pantalla de detalle de carrera.</t>
  </si>
  <si>
    <t>Implementar vista de detalle con navegación de retorno al listado.</t>
  </si>
  <si>
    <t>EP03-US06</t>
  </si>
  <si>
    <t>Crear tabla de habilidades en base de datos.</t>
  </si>
  <si>
    <t>Crear tabla de intereses en base de datos.</t>
  </si>
  <si>
    <t>Crear tablas de relación entre carreras y habilidades, y entre carreras e intereses.</t>
  </si>
  <si>
    <t>Crear endpoint para asociar habilidades e intereses a una carrera.</t>
  </si>
  <si>
    <t>Implementar validación de al menos una habilidad o interés asociado.</t>
  </si>
  <si>
    <t>Diseñar componente de selección múltiple de habilidades e intereses.</t>
  </si>
  <si>
    <t>Implementar asociación de habilidades e intereses desde el formulario de carrera.</t>
  </si>
  <si>
    <t>EP03-US07</t>
  </si>
  <si>
    <t>Definir índices y relaciones en las tablas de carreras para optimizar consultas.</t>
  </si>
  <si>
    <t>Implementar manejo de errores y recuperación ante fallos en los endpoints de carreras.</t>
  </si>
  <si>
    <t>Implementar pruebas de carga para verificar tiempos de respuesta aceptables.</t>
  </si>
  <si>
    <t>EP04</t>
  </si>
  <si>
    <t>EP04-US01</t>
  </si>
  <si>
    <t>Desarrollar el motor de recomendación basado en reglas de ponderación y modelo de clasificación.</t>
  </si>
  <si>
    <t>Implementar mecanismos de recuperación ante fallos para evitar pérdida de datos.</t>
  </si>
  <si>
    <t>Validar que el sistema genere recomendaciones correctas según el perfil ingresado.</t>
  </si>
  <si>
    <t>Implementar interfaz que muestre una barra de progreso para el análisis.</t>
  </si>
  <si>
    <t>EP04-US02</t>
  </si>
  <si>
    <t>Implementar el algoritmo de comparación perfil-carrera.</t>
  </si>
  <si>
    <t>Asegurar que, ante los mismos datos de entrada, el motor siempre produzca el mismo resultado.</t>
  </si>
  <si>
    <t>Crear casos de prueba con perfiles idénticos y similares.</t>
  </si>
  <si>
    <t>EP04-US03</t>
  </si>
  <si>
    <t>Definir las condiciones mínimas que debe cumplir un perfil.</t>
  </si>
  <si>
    <t>Implementar validación del perfil antes de ejecutar el motor.</t>
  </si>
  <si>
    <t>Diseñar la interfaz que da error al no encontrar coincidencias.</t>
  </si>
  <si>
    <t>EP05</t>
  </si>
  <si>
    <t>EP05-US01</t>
  </si>
  <si>
    <t>Implementar la función de cálculo de afinidad por carrera.</t>
  </si>
  <si>
    <t>Implementar el ordenamiento descendente de la lista de carreras.</t>
  </si>
  <si>
    <t>EP05-US02</t>
  </si>
  <si>
    <t>Tabla de configuración de umbrales.</t>
  </si>
  <si>
    <t>Implementar la lectura dinámica de umbrales en el clasificador.</t>
  </si>
  <si>
    <t>Validar que los umbrales configurados sean coherentes.</t>
  </si>
  <si>
    <t>Interfaz que le permita al administrador cambiar los umbrales.</t>
  </si>
  <si>
    <t>Endpoint que reciba los umbrales definidos por el administrador y los guarde.</t>
  </si>
  <si>
    <t>EP05-US03</t>
  </si>
  <si>
    <t>Implementar función que valide 2 perfiles idénticos tras guardar nuevos umbrales.</t>
  </si>
  <si>
    <t>Endpoint de validación de umbrales.</t>
  </si>
  <si>
    <t>Interfaz que muestre si el algoritmo se ve afectado negativamente por los nuevos umbrales.</t>
  </si>
  <si>
    <t>Botón en la interfaz que revierta los cambios a una versión estable.</t>
  </si>
  <si>
    <t>EP05-US04</t>
  </si>
  <si>
    <t>Tabla con configuración de umbrales con fecha y hora, versión y métrica de evaluación.</t>
  </si>
  <si>
    <t>Endpoint para consultar umbrales.</t>
  </si>
  <si>
    <t>Interfaz que muestre el historial de los umbrales.</t>
  </si>
  <si>
    <t>Desarrollar el cálculo y visualización de la métrica de distribución de carreras por nivel de afinidad.</t>
  </si>
  <si>
    <t>EP06</t>
  </si>
  <si>
    <t>EP06-US01</t>
  </si>
  <si>
    <t>Tabla que guarde el listado de carreras por usuario.</t>
  </si>
  <si>
    <t>Endpoint para mostrar resultados del algoritmo.</t>
  </si>
  <si>
    <t>Interfaz que muestre las carreras relacionadas con el perfil del usuario.</t>
  </si>
  <si>
    <t>EP06-US02</t>
  </si>
  <si>
    <t>Crear función que consulte el resultado arrojado del algoritmo.</t>
  </si>
  <si>
    <t>Endpoint que consulte la función anterior y muestre los resultados.</t>
  </si>
  <si>
    <t>Interfaz que indique en cada carrera el nivel de afinidad y los motivos de la recomendación.</t>
  </si>
  <si>
    <t>EP06-US03</t>
  </si>
  <si>
    <t>Crear un endpoint que despliegue la información de cada carrera.</t>
  </si>
  <si>
    <t>Interfaz que muestre la información de las carreras.</t>
  </si>
  <si>
    <t>Descripción: descripción de la carrera, qué se estudia y las metas a corto y largo plazo.</t>
  </si>
  <si>
    <t>Aptitudes: aptitudes necesarias para tomar la carrera.</t>
  </si>
  <si>
    <t>Pensum: cursos que se siguen en la carrera.</t>
  </si>
  <si>
    <t>Campo Laboral: trabajos que puedes desempeñar y qué harás en el campo laboral.</t>
  </si>
  <si>
    <t>EP06-US04</t>
  </si>
  <si>
    <t>Diseñar e implementar una base de datos basada en grafos para almacenar carreras y relaciones.</t>
  </si>
  <si>
    <t>Desarrollar un endpoint de consulta de carreras relacionadas con justificación de la relación.</t>
  </si>
  <si>
    <t>Implementar una interfaz con sección 'Carreras relacionadas' con listado vinculado.</t>
  </si>
  <si>
    <t>EP06-US05</t>
  </si>
  <si>
    <t>Crear consultas que calculen estadísticas de recomendaciones por carrera.</t>
  </si>
  <si>
    <t>Desarrollar un endpoint que permita obtener estadísticas de cada carrera.</t>
  </si>
  <si>
    <t>Implementar una interfaz de administración que muestre métricas como número de recomendaciones y afinidad promedio.</t>
  </si>
  <si>
    <t>EP06-US06</t>
  </si>
  <si>
    <t>Crear una función que obtenga los perfiles asociados a cada carrera recomendada.</t>
  </si>
  <si>
    <t>Desarrollar un endpoint que permita consultar los perfiles relacionados con una carrera.</t>
  </si>
  <si>
    <t>Implementar lógica que clasifique perfiles como potenciales estudiantes según nivel de afinidad.</t>
  </si>
  <si>
    <t>Diseñar una interfaz de administración que muestre los perfiles y sus características principales.</t>
  </si>
  <si>
    <t>Total días</t>
  </si>
  <si>
    <t>Tareas (con 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</si>
</sst>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 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right" vertical="center"/>
    </xf>
    <xf numFmtId="10" fontId="0" fillId="4" borderId="1" xfId="0" applyNumberFormat="1" applyFill="1" applyBorder="1" applyAlignment="1">
      <alignment horizontal="right" vertical="center"/>
    </xf>
    <xf numFmtId="4" fontId="0" fillId="4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10" fontId="2" fillId="5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workbookViewId="0">
      <selection sqref="A1:C1"/>
    </sheetView>
  </sheetViews>
  <sheetFormatPr baseColWidth="10" defaultColWidth="9.140625" defaultRowHeight="15" x14ac:dyDescent="0.25"/>
  <cols>
    <col min="1" max="1" width="48" customWidth="1"/>
    <col min="2" max="2" width="16" customWidth="1"/>
    <col min="3" max="4" width="18" customWidth="1"/>
  </cols>
  <sheetData>
    <row r="1" spans="1:3" ht="21.95" customHeight="1" x14ac:dyDescent="0.25">
      <c r="A1" s="15" t="s">
        <v>0</v>
      </c>
      <c r="B1" s="16"/>
      <c r="C1" s="17"/>
    </row>
    <row r="3" spans="1:3" x14ac:dyDescent="0.25">
      <c r="A3" s="18" t="s">
        <v>1</v>
      </c>
      <c r="B3" s="19"/>
      <c r="C3" s="19"/>
    </row>
    <row r="4" spans="1:3" ht="30" x14ac:dyDescent="0.25">
      <c r="A4" s="2" t="s">
        <v>2</v>
      </c>
      <c r="B4" s="3">
        <v>5</v>
      </c>
    </row>
    <row r="5" spans="1:3" x14ac:dyDescent="0.25">
      <c r="A5" s="2" t="s">
        <v>3</v>
      </c>
      <c r="B5" s="3">
        <v>6</v>
      </c>
    </row>
    <row r="6" spans="1:3" x14ac:dyDescent="0.25">
      <c r="A6" s="2" t="s">
        <v>4</v>
      </c>
      <c r="B6" s="3">
        <v>6</v>
      </c>
    </row>
    <row r="7" spans="1:3" x14ac:dyDescent="0.25">
      <c r="A7" s="2" t="s">
        <v>5</v>
      </c>
      <c r="B7" s="3">
        <v>32</v>
      </c>
    </row>
    <row r="8" spans="1:3" x14ac:dyDescent="0.25">
      <c r="A8" s="2" t="s">
        <v>6</v>
      </c>
      <c r="B8" s="3">
        <v>121</v>
      </c>
    </row>
    <row r="9" spans="1:3" x14ac:dyDescent="0.25">
      <c r="A9" s="2" t="s">
        <v>7</v>
      </c>
      <c r="B9" s="3">
        <v>133</v>
      </c>
    </row>
    <row r="10" spans="1:3" x14ac:dyDescent="0.25">
      <c r="A10" s="2" t="s">
        <v>8</v>
      </c>
      <c r="B10" s="3">
        <v>10</v>
      </c>
    </row>
    <row r="11" spans="1:3" x14ac:dyDescent="0.25">
      <c r="A11" s="2" t="s">
        <v>9</v>
      </c>
      <c r="B11" s="3">
        <v>20</v>
      </c>
    </row>
    <row r="12" spans="1:3" x14ac:dyDescent="0.25">
      <c r="A12" s="2" t="s">
        <v>10</v>
      </c>
      <c r="B12" s="4">
        <v>0.25</v>
      </c>
    </row>
    <row r="13" spans="1:3" x14ac:dyDescent="0.25">
      <c r="A13" s="2" t="s">
        <v>11</v>
      </c>
      <c r="B13" s="4">
        <v>0.1</v>
      </c>
    </row>
    <row r="14" spans="1:3" x14ac:dyDescent="0.25">
      <c r="A14" s="2" t="s">
        <v>12</v>
      </c>
      <c r="B14" s="4">
        <v>0.35</v>
      </c>
    </row>
    <row r="15" spans="1:3" x14ac:dyDescent="0.25">
      <c r="A15" s="2" t="s">
        <v>13</v>
      </c>
      <c r="B15" s="4">
        <v>0.35</v>
      </c>
    </row>
    <row r="16" spans="1:3" x14ac:dyDescent="0.25">
      <c r="A16" s="2" t="s">
        <v>14</v>
      </c>
      <c r="B16" s="4">
        <v>0.8</v>
      </c>
    </row>
    <row r="17" spans="1:4" x14ac:dyDescent="0.25">
      <c r="A17" s="2" t="s">
        <v>15</v>
      </c>
      <c r="B17" s="4">
        <v>0.2</v>
      </c>
    </row>
    <row r="20" spans="1:4" x14ac:dyDescent="0.25">
      <c r="A20" s="18" t="s">
        <v>16</v>
      </c>
      <c r="B20" s="19"/>
      <c r="C20" s="19"/>
      <c r="D20" s="19"/>
    </row>
    <row r="21" spans="1:4" x14ac:dyDescent="0.25">
      <c r="A21" s="1" t="s">
        <v>17</v>
      </c>
      <c r="B21" s="1" t="s">
        <v>18</v>
      </c>
      <c r="C21" s="1" t="s">
        <v>19</v>
      </c>
      <c r="D21" s="1" t="s">
        <v>20</v>
      </c>
    </row>
    <row r="22" spans="1:4" x14ac:dyDescent="0.25">
      <c r="A22" s="2" t="s">
        <v>21</v>
      </c>
      <c r="B22" s="5">
        <v>1</v>
      </c>
      <c r="C22" s="6">
        <v>15000</v>
      </c>
      <c r="D22" s="7">
        <f>B22*C22</f>
        <v>15000</v>
      </c>
    </row>
    <row r="23" spans="1:4" x14ac:dyDescent="0.25">
      <c r="A23" s="2" t="s">
        <v>22</v>
      </c>
      <c r="B23" s="5">
        <v>1</v>
      </c>
      <c r="C23" s="6">
        <v>13500</v>
      </c>
      <c r="D23" s="7">
        <f>B23*C23</f>
        <v>13500</v>
      </c>
    </row>
    <row r="24" spans="1:4" x14ac:dyDescent="0.25">
      <c r="A24" s="2" t="s">
        <v>23</v>
      </c>
      <c r="B24" s="5">
        <v>1</v>
      </c>
      <c r="C24" s="6">
        <v>12904</v>
      </c>
      <c r="D24" s="7">
        <f>B24*C24</f>
        <v>12904</v>
      </c>
    </row>
    <row r="25" spans="1:4" x14ac:dyDescent="0.25">
      <c r="A25" s="2" t="s">
        <v>23</v>
      </c>
      <c r="B25" s="5">
        <v>1</v>
      </c>
      <c r="C25" s="6">
        <v>12904</v>
      </c>
      <c r="D25" s="7">
        <f>B25*C25</f>
        <v>12904</v>
      </c>
    </row>
    <row r="26" spans="1:4" x14ac:dyDescent="0.25">
      <c r="A26" s="2" t="s">
        <v>23</v>
      </c>
      <c r="B26" s="5">
        <v>1</v>
      </c>
      <c r="C26" s="6">
        <v>12904</v>
      </c>
      <c r="D26" s="7">
        <f>B26*C26</f>
        <v>12904</v>
      </c>
    </row>
    <row r="27" spans="1:4" x14ac:dyDescent="0.25">
      <c r="A27" s="8" t="s">
        <v>24</v>
      </c>
      <c r="D27" s="9">
        <f>SUM(D22:D26)</f>
        <v>67212</v>
      </c>
    </row>
    <row r="29" spans="1:4" x14ac:dyDescent="0.25">
      <c r="A29" s="18" t="s">
        <v>25</v>
      </c>
      <c r="B29" s="19"/>
      <c r="C29" s="19"/>
      <c r="D29" s="19"/>
    </row>
    <row r="30" spans="1:4" x14ac:dyDescent="0.25">
      <c r="A30" s="1" t="s">
        <v>17</v>
      </c>
      <c r="B30" s="1" t="s">
        <v>18</v>
      </c>
      <c r="C30" s="1" t="s">
        <v>19</v>
      </c>
      <c r="D30" s="1" t="s">
        <v>20</v>
      </c>
    </row>
    <row r="31" spans="1:4" x14ac:dyDescent="0.25">
      <c r="A31" s="2" t="s">
        <v>21</v>
      </c>
      <c r="B31" s="5">
        <v>0.7</v>
      </c>
      <c r="C31" s="6">
        <v>15000</v>
      </c>
      <c r="D31" s="7">
        <f>B31*C31</f>
        <v>10500</v>
      </c>
    </row>
    <row r="32" spans="1:4" x14ac:dyDescent="0.25">
      <c r="A32" s="2" t="s">
        <v>22</v>
      </c>
      <c r="B32" s="5">
        <v>1</v>
      </c>
      <c r="C32" s="6">
        <v>13500</v>
      </c>
      <c r="D32" s="7">
        <f>B32*C32</f>
        <v>13500</v>
      </c>
    </row>
    <row r="33" spans="1:4" x14ac:dyDescent="0.25">
      <c r="A33" s="2" t="s">
        <v>23</v>
      </c>
      <c r="B33" s="5">
        <v>1</v>
      </c>
      <c r="C33" s="6">
        <v>12904</v>
      </c>
      <c r="D33" s="7">
        <f>B33*C33</f>
        <v>12904</v>
      </c>
    </row>
    <row r="34" spans="1:4" x14ac:dyDescent="0.25">
      <c r="A34" s="2" t="s">
        <v>23</v>
      </c>
      <c r="B34" s="5">
        <v>1</v>
      </c>
      <c r="C34" s="6">
        <v>12904</v>
      </c>
      <c r="D34" s="7">
        <f>B34*C34</f>
        <v>12904</v>
      </c>
    </row>
    <row r="35" spans="1:4" x14ac:dyDescent="0.25">
      <c r="A35" s="2" t="s">
        <v>23</v>
      </c>
      <c r="B35" s="5">
        <v>1</v>
      </c>
      <c r="C35" s="6">
        <v>12904</v>
      </c>
      <c r="D35" s="7">
        <f>B35*C35</f>
        <v>12904</v>
      </c>
    </row>
    <row r="36" spans="1:4" x14ac:dyDescent="0.25">
      <c r="A36" s="8" t="s">
        <v>26</v>
      </c>
      <c r="D36" s="9">
        <f>SUM(D31:D35)</f>
        <v>62712</v>
      </c>
    </row>
    <row r="38" spans="1:4" x14ac:dyDescent="0.25">
      <c r="A38" s="18" t="s">
        <v>27</v>
      </c>
      <c r="B38" s="19"/>
      <c r="C38" s="19"/>
      <c r="D38" s="19"/>
    </row>
    <row r="39" spans="1:4" x14ac:dyDescent="0.25">
      <c r="A39" s="1" t="s">
        <v>17</v>
      </c>
      <c r="B39" s="1" t="s">
        <v>18</v>
      </c>
      <c r="C39" s="1" t="s">
        <v>19</v>
      </c>
      <c r="D39" s="1" t="s">
        <v>20</v>
      </c>
    </row>
    <row r="40" spans="1:4" x14ac:dyDescent="0.25">
      <c r="A40" s="2" t="s">
        <v>28</v>
      </c>
      <c r="B40" s="5">
        <v>1</v>
      </c>
      <c r="C40" s="6">
        <v>15000</v>
      </c>
      <c r="D40" s="7">
        <f t="shared" ref="D40:D45" si="0">B40*C40</f>
        <v>15000</v>
      </c>
    </row>
    <row r="41" spans="1:4" x14ac:dyDescent="0.25">
      <c r="A41" s="2" t="s">
        <v>29</v>
      </c>
      <c r="B41" s="5">
        <v>1</v>
      </c>
      <c r="C41" s="6">
        <v>13500</v>
      </c>
      <c r="D41" s="7">
        <f t="shared" si="0"/>
        <v>13500</v>
      </c>
    </row>
    <row r="42" spans="1:4" x14ac:dyDescent="0.25">
      <c r="A42" s="2" t="s">
        <v>23</v>
      </c>
      <c r="B42" s="5">
        <v>1</v>
      </c>
      <c r="C42" s="6">
        <v>12904</v>
      </c>
      <c r="D42" s="7">
        <f t="shared" si="0"/>
        <v>12904</v>
      </c>
    </row>
    <row r="43" spans="1:4" x14ac:dyDescent="0.25">
      <c r="A43" s="2" t="s">
        <v>23</v>
      </c>
      <c r="B43" s="5">
        <v>1</v>
      </c>
      <c r="C43" s="6">
        <v>12904</v>
      </c>
      <c r="D43" s="7">
        <f t="shared" si="0"/>
        <v>12904</v>
      </c>
    </row>
    <row r="44" spans="1:4" x14ac:dyDescent="0.25">
      <c r="A44" s="2" t="s">
        <v>30</v>
      </c>
      <c r="B44" s="5">
        <v>1</v>
      </c>
      <c r="C44" s="6">
        <v>9000</v>
      </c>
      <c r="D44" s="7">
        <f t="shared" si="0"/>
        <v>9000</v>
      </c>
    </row>
    <row r="45" spans="1:4" x14ac:dyDescent="0.25">
      <c r="A45" s="2" t="s">
        <v>30</v>
      </c>
      <c r="B45" s="5">
        <v>1</v>
      </c>
      <c r="C45" s="6">
        <v>9000</v>
      </c>
      <c r="D45" s="7">
        <f t="shared" si="0"/>
        <v>9000</v>
      </c>
    </row>
    <row r="46" spans="1:4" x14ac:dyDescent="0.25">
      <c r="A46" s="8" t="s">
        <v>31</v>
      </c>
      <c r="D46" s="9">
        <f>SUM(D40:D45)</f>
        <v>72308</v>
      </c>
    </row>
    <row r="48" spans="1:4" x14ac:dyDescent="0.25">
      <c r="A48" s="18" t="s">
        <v>32</v>
      </c>
      <c r="B48" s="19"/>
      <c r="C48" s="19"/>
      <c r="D48" s="19"/>
    </row>
    <row r="49" spans="1:4" x14ac:dyDescent="0.25">
      <c r="A49" s="1" t="s">
        <v>17</v>
      </c>
      <c r="B49" s="1" t="s">
        <v>18</v>
      </c>
      <c r="C49" s="1" t="s">
        <v>19</v>
      </c>
      <c r="D49" s="1" t="s">
        <v>20</v>
      </c>
    </row>
    <row r="50" spans="1:4" x14ac:dyDescent="0.25">
      <c r="A50" s="2" t="s">
        <v>28</v>
      </c>
      <c r="B50" s="5">
        <v>0.7</v>
      </c>
      <c r="C50" s="6">
        <v>15000</v>
      </c>
      <c r="D50" s="7">
        <f t="shared" ref="D50:D55" si="1">B50*C50</f>
        <v>10500</v>
      </c>
    </row>
    <row r="51" spans="1:4" x14ac:dyDescent="0.25">
      <c r="A51" s="2" t="s">
        <v>29</v>
      </c>
      <c r="B51" s="5">
        <v>1</v>
      </c>
      <c r="C51" s="6">
        <v>13500</v>
      </c>
      <c r="D51" s="7">
        <f t="shared" si="1"/>
        <v>13500</v>
      </c>
    </row>
    <row r="52" spans="1:4" x14ac:dyDescent="0.25">
      <c r="A52" s="2" t="s">
        <v>23</v>
      </c>
      <c r="B52" s="5">
        <v>1</v>
      </c>
      <c r="C52" s="6">
        <v>12904</v>
      </c>
      <c r="D52" s="7">
        <f t="shared" si="1"/>
        <v>12904</v>
      </c>
    </row>
    <row r="53" spans="1:4" x14ac:dyDescent="0.25">
      <c r="A53" s="2" t="s">
        <v>23</v>
      </c>
      <c r="B53" s="5">
        <v>1</v>
      </c>
      <c r="C53" s="6">
        <v>12904</v>
      </c>
      <c r="D53" s="7">
        <f t="shared" si="1"/>
        <v>12904</v>
      </c>
    </row>
    <row r="54" spans="1:4" x14ac:dyDescent="0.25">
      <c r="A54" s="2" t="s">
        <v>30</v>
      </c>
      <c r="B54" s="5">
        <v>1</v>
      </c>
      <c r="C54" s="6">
        <v>9000</v>
      </c>
      <c r="D54" s="7">
        <f t="shared" si="1"/>
        <v>9000</v>
      </c>
    </row>
    <row r="55" spans="1:4" x14ac:dyDescent="0.25">
      <c r="A55" s="2" t="s">
        <v>30</v>
      </c>
      <c r="B55" s="5">
        <v>1</v>
      </c>
      <c r="C55" s="6">
        <v>9000</v>
      </c>
      <c r="D55" s="7">
        <f t="shared" si="1"/>
        <v>9000</v>
      </c>
    </row>
    <row r="56" spans="1:4" x14ac:dyDescent="0.25">
      <c r="A56" s="8" t="s">
        <v>33</v>
      </c>
      <c r="D56" s="9">
        <f>SUM(D50:D55)</f>
        <v>67808</v>
      </c>
    </row>
    <row r="58" spans="1:4" x14ac:dyDescent="0.25">
      <c r="A58" s="18" t="s">
        <v>34</v>
      </c>
      <c r="B58" s="19"/>
      <c r="C58" s="19"/>
    </row>
    <row r="59" spans="1:4" x14ac:dyDescent="0.25">
      <c r="A59" s="2" t="s">
        <v>35</v>
      </c>
      <c r="B59" s="3">
        <v>682</v>
      </c>
    </row>
    <row r="60" spans="1:4" x14ac:dyDescent="0.25">
      <c r="A60" s="2" t="s">
        <v>36</v>
      </c>
      <c r="B60" s="3">
        <v>4</v>
      </c>
    </row>
    <row r="61" spans="1:4" x14ac:dyDescent="0.25">
      <c r="A61" s="2" t="s">
        <v>37</v>
      </c>
      <c r="B61" s="5">
        <v>4</v>
      </c>
    </row>
    <row r="62" spans="1:4" x14ac:dyDescent="0.25">
      <c r="A62" s="2" t="s">
        <v>38</v>
      </c>
      <c r="B62" s="5">
        <v>10</v>
      </c>
    </row>
    <row r="65" spans="1:3" x14ac:dyDescent="0.25">
      <c r="A65" s="18" t="s">
        <v>39</v>
      </c>
      <c r="B65" s="19"/>
      <c r="C65" s="19"/>
    </row>
    <row r="66" spans="1:3" x14ac:dyDescent="0.25">
      <c r="A66" s="2" t="s">
        <v>40</v>
      </c>
      <c r="B66" s="3">
        <v>815</v>
      </c>
    </row>
    <row r="67" spans="1:3" x14ac:dyDescent="0.25">
      <c r="A67" s="2" t="s">
        <v>41</v>
      </c>
      <c r="B67" s="3">
        <v>2</v>
      </c>
    </row>
    <row r="68" spans="1:3" x14ac:dyDescent="0.25">
      <c r="A68" s="2" t="s">
        <v>42</v>
      </c>
      <c r="B68" s="5">
        <v>5</v>
      </c>
    </row>
    <row r="69" spans="1:3" x14ac:dyDescent="0.25">
      <c r="A69" s="2" t="s">
        <v>43</v>
      </c>
      <c r="B69" s="5">
        <v>11</v>
      </c>
    </row>
    <row r="72" spans="1:3" x14ac:dyDescent="0.25">
      <c r="A72" s="18" t="s">
        <v>44</v>
      </c>
      <c r="B72" s="19"/>
      <c r="C72" s="19"/>
    </row>
    <row r="73" spans="1:3" x14ac:dyDescent="0.25">
      <c r="A73" s="2" t="s">
        <v>45</v>
      </c>
      <c r="B73" s="4">
        <v>0.05</v>
      </c>
    </row>
    <row r="74" spans="1:3" x14ac:dyDescent="0.25">
      <c r="A74" s="2" t="s">
        <v>46</v>
      </c>
      <c r="B74" s="4">
        <v>0.1</v>
      </c>
    </row>
    <row r="75" spans="1:3" x14ac:dyDescent="0.25">
      <c r="A75" s="2" t="s">
        <v>47</v>
      </c>
      <c r="B75" s="4">
        <v>0.2</v>
      </c>
    </row>
    <row r="76" spans="1:3" x14ac:dyDescent="0.25">
      <c r="A76" s="8" t="s">
        <v>48</v>
      </c>
      <c r="B76" s="10">
        <f>SUM(B73:B75)</f>
        <v>0.35000000000000003</v>
      </c>
    </row>
  </sheetData>
  <mergeCells count="9">
    <mergeCell ref="A65:C65"/>
    <mergeCell ref="A72:C72"/>
    <mergeCell ref="A1:C1"/>
    <mergeCell ref="A48:D48"/>
    <mergeCell ref="A20:D20"/>
    <mergeCell ref="A38:D38"/>
    <mergeCell ref="A58:C58"/>
    <mergeCell ref="A29:D29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baseColWidth="10" defaultColWidth="9.140625" defaultRowHeight="15" x14ac:dyDescent="0.25"/>
  <cols>
    <col min="1" max="1" width="38" customWidth="1"/>
    <col min="2" max="2" width="18" customWidth="1"/>
    <col min="3" max="3" width="4" customWidth="1"/>
    <col min="4" max="4" width="38" customWidth="1"/>
    <col min="5" max="5" width="18" customWidth="1"/>
  </cols>
  <sheetData>
    <row r="1" spans="1:5" ht="21.95" customHeight="1" x14ac:dyDescent="0.25">
      <c r="A1" s="15" t="s">
        <v>49</v>
      </c>
      <c r="B1" s="16"/>
      <c r="C1" s="16"/>
      <c r="D1" s="17"/>
    </row>
    <row r="3" spans="1:5" x14ac:dyDescent="0.25">
      <c r="A3" s="18" t="s">
        <v>50</v>
      </c>
      <c r="B3" s="19"/>
      <c r="D3" s="18" t="s">
        <v>51</v>
      </c>
      <c r="E3" s="19"/>
    </row>
    <row r="4" spans="1:5" x14ac:dyDescent="0.25">
      <c r="A4" s="1" t="s">
        <v>52</v>
      </c>
      <c r="B4" s="1" t="s">
        <v>53</v>
      </c>
      <c r="D4" s="1" t="s">
        <v>52</v>
      </c>
      <c r="E4" s="1" t="s">
        <v>53</v>
      </c>
    </row>
    <row r="5" spans="1:5" x14ac:dyDescent="0.25">
      <c r="A5" s="2" t="s">
        <v>54</v>
      </c>
      <c r="B5" s="7">
        <f>Inputs!$D$27</f>
        <v>67212</v>
      </c>
      <c r="D5" s="2" t="s">
        <v>54</v>
      </c>
      <c r="E5" s="7">
        <f>Inputs!$D$36</f>
        <v>62712</v>
      </c>
    </row>
    <row r="6" spans="1:5" x14ac:dyDescent="0.25">
      <c r="A6" s="2" t="s">
        <v>55</v>
      </c>
      <c r="B6" s="11">
        <f>ROUNDDOWN(Inputs!$B$8/Inputs!$B$6,0)</f>
        <v>20</v>
      </c>
      <c r="D6" s="2" t="s">
        <v>55</v>
      </c>
      <c r="E6" s="11">
        <f>ROUNDDOWN(Inputs!$B$8/Inputs!$B$6,0)</f>
        <v>20</v>
      </c>
    </row>
    <row r="7" spans="1:5" x14ac:dyDescent="0.25">
      <c r="A7" s="2" t="s">
        <v>56</v>
      </c>
      <c r="B7" s="11">
        <f>ROUNDUP(Inputs!$B$8/B6,0)</f>
        <v>7</v>
      </c>
      <c r="D7" s="2" t="s">
        <v>56</v>
      </c>
      <c r="E7" s="11">
        <f>ROUNDUP(Inputs!$B$8/E6,0)</f>
        <v>7</v>
      </c>
    </row>
    <row r="8" spans="1:5" x14ac:dyDescent="0.25">
      <c r="A8" s="2" t="s">
        <v>57</v>
      </c>
      <c r="B8" s="11">
        <f>ROUNDUP(B7*(1+Inputs!$B$12),0)</f>
        <v>9</v>
      </c>
      <c r="D8" s="2" t="s">
        <v>57</v>
      </c>
      <c r="E8" s="11">
        <f>ROUNDUP(E7*(1+Inputs!$B$12),0)</f>
        <v>9</v>
      </c>
    </row>
    <row r="9" spans="1:5" x14ac:dyDescent="0.25">
      <c r="A9" s="2" t="s">
        <v>58</v>
      </c>
      <c r="B9" s="11">
        <f>B7*Inputs!$B$10</f>
        <v>70</v>
      </c>
      <c r="D9" s="2" t="s">
        <v>58</v>
      </c>
      <c r="E9" s="11">
        <f>E7*Inputs!$B$10</f>
        <v>70</v>
      </c>
    </row>
    <row r="10" spans="1:5" x14ac:dyDescent="0.25">
      <c r="A10" s="2" t="s">
        <v>59</v>
      </c>
      <c r="B10" s="11">
        <f>B8*Inputs!$B$10</f>
        <v>90</v>
      </c>
      <c r="D10" s="2" t="s">
        <v>59</v>
      </c>
      <c r="E10" s="11">
        <f>E8*Inputs!$B$10</f>
        <v>90</v>
      </c>
    </row>
    <row r="11" spans="1:5" x14ac:dyDescent="0.25">
      <c r="A11" s="2" t="s">
        <v>60</v>
      </c>
      <c r="B11" s="7">
        <f>B5*(Inputs!$B$10/Inputs!$B$11)</f>
        <v>33606</v>
      </c>
      <c r="D11" s="2" t="s">
        <v>60</v>
      </c>
      <c r="E11" s="7">
        <f>E5*(Inputs!$B$10/Inputs!$B$11)</f>
        <v>31356</v>
      </c>
    </row>
    <row r="12" spans="1:5" x14ac:dyDescent="0.25">
      <c r="A12" s="2" t="s">
        <v>61</v>
      </c>
      <c r="B12" s="7">
        <f>B11*B7</f>
        <v>235242</v>
      </c>
      <c r="D12" s="2" t="s">
        <v>61</v>
      </c>
      <c r="E12" s="7">
        <f>E11*E7</f>
        <v>219492</v>
      </c>
    </row>
    <row r="13" spans="1:5" x14ac:dyDescent="0.25">
      <c r="A13" s="2" t="s">
        <v>62</v>
      </c>
      <c r="B13" s="7">
        <f>B11*B8</f>
        <v>302454</v>
      </c>
      <c r="D13" s="2" t="s">
        <v>62</v>
      </c>
      <c r="E13" s="7">
        <f>E11*E8</f>
        <v>282204</v>
      </c>
    </row>
    <row r="15" spans="1:5" x14ac:dyDescent="0.25">
      <c r="A15" s="18" t="s">
        <v>63</v>
      </c>
      <c r="B15" s="19"/>
      <c r="C15" s="19"/>
      <c r="D15" s="19"/>
      <c r="E15" s="19"/>
    </row>
    <row r="16" spans="1:5" x14ac:dyDescent="0.25">
      <c r="A16" s="1" t="s">
        <v>52</v>
      </c>
      <c r="B16" s="1" t="s">
        <v>50</v>
      </c>
      <c r="D16" s="1" t="s">
        <v>52</v>
      </c>
      <c r="E16" s="1" t="s">
        <v>51</v>
      </c>
    </row>
    <row r="17" spans="1:5" x14ac:dyDescent="0.25">
      <c r="A17" s="2" t="s">
        <v>62</v>
      </c>
      <c r="B17" s="7">
        <f>B13</f>
        <v>302454</v>
      </c>
      <c r="D17" s="2" t="s">
        <v>62</v>
      </c>
      <c r="E17" s="7">
        <f>E13</f>
        <v>282204</v>
      </c>
    </row>
    <row r="18" spans="1:5" x14ac:dyDescent="0.25">
      <c r="A18" s="2" t="s">
        <v>64</v>
      </c>
      <c r="B18" s="7">
        <f>'Costos adicionales'!$B$12</f>
        <v>105870</v>
      </c>
      <c r="D18" s="2" t="s">
        <v>64</v>
      </c>
      <c r="E18" s="7">
        <f>'Costos adicionales'!$B$12</f>
        <v>105870</v>
      </c>
    </row>
    <row r="19" spans="1:5" x14ac:dyDescent="0.25">
      <c r="A19" s="2" t="s">
        <v>65</v>
      </c>
      <c r="B19" s="7">
        <f>Riesgos!$J$13</f>
        <v>133769.79999999999</v>
      </c>
      <c r="D19" s="2" t="s">
        <v>65</v>
      </c>
      <c r="E19" s="7">
        <f>Riesgos!$J$13</f>
        <v>133769.79999999999</v>
      </c>
    </row>
    <row r="20" spans="1:5" x14ac:dyDescent="0.25">
      <c r="A20" s="8" t="s">
        <v>66</v>
      </c>
      <c r="B20" s="9">
        <f>B17+B18+B19</f>
        <v>542093.80000000005</v>
      </c>
      <c r="D20" s="8" t="s">
        <v>66</v>
      </c>
      <c r="E20" s="9">
        <f>E17+E18+E19</f>
        <v>521843.8</v>
      </c>
    </row>
    <row r="21" spans="1:5" x14ac:dyDescent="0.25">
      <c r="A21" s="2" t="s">
        <v>67</v>
      </c>
      <c r="B21" s="12">
        <f>Inputs!$B$14</f>
        <v>0.35</v>
      </c>
      <c r="D21" s="2" t="s">
        <v>67</v>
      </c>
      <c r="E21" s="12">
        <f>Inputs!$B$14</f>
        <v>0.35</v>
      </c>
    </row>
    <row r="22" spans="1:5" x14ac:dyDescent="0.25">
      <c r="A22" s="8" t="s">
        <v>68</v>
      </c>
      <c r="B22" s="9">
        <f>B20/(1-B21)</f>
        <v>833990.46153846162</v>
      </c>
      <c r="D22" s="8" t="s">
        <v>68</v>
      </c>
      <c r="E22" s="9">
        <f>E20/(1-E21)</f>
        <v>802836.61538461538</v>
      </c>
    </row>
    <row r="23" spans="1:5" ht="30" x14ac:dyDescent="0.25">
      <c r="A23" s="2" t="s">
        <v>69</v>
      </c>
      <c r="B23" s="7">
        <f>ROUNDUP(B22,-3)</f>
        <v>834000</v>
      </c>
      <c r="D23" s="2" t="s">
        <v>69</v>
      </c>
      <c r="E23" s="7">
        <f>ROUNDUP(E22,-3)</f>
        <v>803000</v>
      </c>
    </row>
    <row r="24" spans="1:5" x14ac:dyDescent="0.25">
      <c r="A24" s="2" t="s">
        <v>70</v>
      </c>
      <c r="B24" s="7">
        <f>B22-B20</f>
        <v>291896.66153846157</v>
      </c>
      <c r="D24" s="2" t="s">
        <v>70</v>
      </c>
      <c r="E24" s="7">
        <f>E22-E20</f>
        <v>280992.81538461539</v>
      </c>
    </row>
    <row r="25" spans="1:5" x14ac:dyDescent="0.25">
      <c r="A25" s="2" t="s">
        <v>71</v>
      </c>
      <c r="B25" s="12">
        <f>B24/B20</f>
        <v>0.53846153846153844</v>
      </c>
      <c r="D25" s="2" t="s">
        <v>71</v>
      </c>
      <c r="E25" s="12">
        <f>E24/E20</f>
        <v>0.53846153846153844</v>
      </c>
    </row>
    <row r="26" spans="1:5" x14ac:dyDescent="0.25">
      <c r="A26" s="2" t="s">
        <v>72</v>
      </c>
      <c r="B26" s="7">
        <f>B22-B20</f>
        <v>291896.66153846157</v>
      </c>
      <c r="D26" s="2" t="s">
        <v>72</v>
      </c>
      <c r="E26" s="7">
        <f>E22-E20</f>
        <v>280992.81538461539</v>
      </c>
    </row>
    <row r="27" spans="1:5" x14ac:dyDescent="0.25">
      <c r="A27" s="2" t="s">
        <v>73</v>
      </c>
      <c r="B27" s="12">
        <f>B26/B22</f>
        <v>0.35000000000000003</v>
      </c>
      <c r="D27" s="2" t="s">
        <v>73</v>
      </c>
      <c r="E27" s="12">
        <f>E26/E22</f>
        <v>0.35000000000000003</v>
      </c>
    </row>
  </sheetData>
  <mergeCells count="4">
    <mergeCell ref="A1:D1"/>
    <mergeCell ref="D3:E3"/>
    <mergeCell ref="A3:B3"/>
    <mergeCell ref="A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/>
  </sheetViews>
  <sheetFormatPr baseColWidth="10" defaultColWidth="9.140625" defaultRowHeight="15" x14ac:dyDescent="0.25"/>
  <cols>
    <col min="1" max="1" width="38" customWidth="1"/>
    <col min="2" max="2" width="18" customWidth="1"/>
    <col min="3" max="3" width="4" customWidth="1"/>
    <col min="4" max="4" width="38" customWidth="1"/>
    <col min="5" max="5" width="18" customWidth="1"/>
  </cols>
  <sheetData>
    <row r="1" spans="1:5" ht="21.95" customHeight="1" x14ac:dyDescent="0.25">
      <c r="A1" s="15" t="s">
        <v>74</v>
      </c>
      <c r="B1" s="16"/>
      <c r="C1" s="16"/>
      <c r="D1" s="17"/>
    </row>
    <row r="3" spans="1:5" x14ac:dyDescent="0.25">
      <c r="A3" s="18" t="s">
        <v>50</v>
      </c>
      <c r="B3" s="19"/>
      <c r="D3" s="18" t="s">
        <v>51</v>
      </c>
      <c r="E3" s="19"/>
    </row>
    <row r="4" spans="1:5" x14ac:dyDescent="0.25">
      <c r="A4" s="1" t="s">
        <v>52</v>
      </c>
      <c r="B4" s="1" t="s">
        <v>53</v>
      </c>
      <c r="D4" s="1" t="s">
        <v>52</v>
      </c>
      <c r="E4" s="1" t="s">
        <v>53</v>
      </c>
    </row>
    <row r="5" spans="1:5" x14ac:dyDescent="0.25">
      <c r="A5" s="2" t="s">
        <v>54</v>
      </c>
      <c r="B5" s="7">
        <f>Inputs!$D$27</f>
        <v>67212</v>
      </c>
      <c r="D5" s="2" t="s">
        <v>54</v>
      </c>
      <c r="E5" s="7">
        <f>Inputs!$D$36</f>
        <v>62712</v>
      </c>
    </row>
    <row r="6" spans="1:5" x14ac:dyDescent="0.25">
      <c r="A6" s="2" t="s">
        <v>75</v>
      </c>
      <c r="B6" s="11">
        <f>Inputs!$B$59</f>
        <v>682</v>
      </c>
      <c r="D6" s="2" t="s">
        <v>75</v>
      </c>
      <c r="E6" s="11">
        <f>Inputs!$B$59</f>
        <v>682</v>
      </c>
    </row>
    <row r="7" spans="1:5" x14ac:dyDescent="0.25">
      <c r="A7" s="2" t="s">
        <v>76</v>
      </c>
      <c r="B7" s="11">
        <f>Inputs!$B$60</f>
        <v>4</v>
      </c>
      <c r="D7" s="2" t="s">
        <v>76</v>
      </c>
      <c r="E7" s="11">
        <f>Inputs!$B$60</f>
        <v>4</v>
      </c>
    </row>
    <row r="8" spans="1:5" x14ac:dyDescent="0.25">
      <c r="A8" s="2" t="s">
        <v>77</v>
      </c>
      <c r="B8" s="13">
        <f>B6/Inputs!$B$9</f>
        <v>5.1278195488721803</v>
      </c>
      <c r="D8" s="2" t="s">
        <v>77</v>
      </c>
      <c r="E8" s="13">
        <f>E6/Inputs!$B$9</f>
        <v>5.1278195488721803</v>
      </c>
    </row>
    <row r="9" spans="1:5" x14ac:dyDescent="0.25">
      <c r="A9" s="2" t="s">
        <v>78</v>
      </c>
      <c r="B9" s="13">
        <f>B7/B8</f>
        <v>0.78005865102639294</v>
      </c>
      <c r="D9" s="2" t="s">
        <v>78</v>
      </c>
      <c r="E9" s="13">
        <f>E7/E8</f>
        <v>0.78005865102639294</v>
      </c>
    </row>
    <row r="10" spans="1:5" x14ac:dyDescent="0.25">
      <c r="A10" s="2" t="s">
        <v>79</v>
      </c>
      <c r="B10" s="13">
        <f>B9*Inputs!$B$11</f>
        <v>15.60117302052786</v>
      </c>
      <c r="D10" s="2" t="s">
        <v>79</v>
      </c>
      <c r="E10" s="13">
        <f>E9*Inputs!$B$11</f>
        <v>15.60117302052786</v>
      </c>
    </row>
    <row r="11" spans="1:5" x14ac:dyDescent="0.25">
      <c r="A11" s="2" t="s">
        <v>80</v>
      </c>
      <c r="B11" s="11">
        <f>ROUNDUP(Inputs!$B$9/B9,0)</f>
        <v>171</v>
      </c>
      <c r="D11" s="2" t="s">
        <v>80</v>
      </c>
      <c r="E11" s="11">
        <f>ROUNDUP(Inputs!$B$9/E9,0)</f>
        <v>171</v>
      </c>
    </row>
    <row r="12" spans="1:5" x14ac:dyDescent="0.25">
      <c r="A12" s="2" t="s">
        <v>81</v>
      </c>
      <c r="B12" s="11">
        <f>ROUNDUP(B11/Inputs!$B$11,0)</f>
        <v>9</v>
      </c>
      <c r="D12" s="2" t="s">
        <v>81</v>
      </c>
      <c r="E12" s="11">
        <f>ROUNDUP(E11/Inputs!$B$11,0)</f>
        <v>9</v>
      </c>
    </row>
    <row r="13" spans="1:5" x14ac:dyDescent="0.25">
      <c r="A13" s="2" t="s">
        <v>82</v>
      </c>
      <c r="B13" s="11">
        <f>ROUNDUP(B11*(1+Inputs!$B$12),0)</f>
        <v>214</v>
      </c>
      <c r="D13" s="2" t="s">
        <v>82</v>
      </c>
      <c r="E13" s="11">
        <f>ROUNDUP(E11*(1+Inputs!$B$12),0)</f>
        <v>214</v>
      </c>
    </row>
    <row r="14" spans="1:5" x14ac:dyDescent="0.25">
      <c r="A14" s="2" t="s">
        <v>83</v>
      </c>
      <c r="B14" s="11">
        <f>ROUNDUP(B13/Inputs!$B$11,0)</f>
        <v>11</v>
      </c>
      <c r="D14" s="2" t="s">
        <v>83</v>
      </c>
      <c r="E14" s="11">
        <f>ROUNDUP(E13/Inputs!$B$11,0)</f>
        <v>11</v>
      </c>
    </row>
    <row r="15" spans="1:5" x14ac:dyDescent="0.25">
      <c r="A15" s="2" t="s">
        <v>61</v>
      </c>
      <c r="B15" s="7">
        <f>B5*B12</f>
        <v>604908</v>
      </c>
      <c r="D15" s="2" t="s">
        <v>61</v>
      </c>
      <c r="E15" s="7">
        <f>E5*E12</f>
        <v>564408</v>
      </c>
    </row>
    <row r="16" spans="1:5" x14ac:dyDescent="0.25">
      <c r="A16" s="2" t="s">
        <v>62</v>
      </c>
      <c r="B16" s="7">
        <f>B5*B14</f>
        <v>739332</v>
      </c>
      <c r="D16" s="2" t="s">
        <v>62</v>
      </c>
      <c r="E16" s="7">
        <f>E5*E14</f>
        <v>689832</v>
      </c>
    </row>
    <row r="18" spans="1:5" x14ac:dyDescent="0.25">
      <c r="A18" s="18" t="s">
        <v>63</v>
      </c>
      <c r="B18" s="19"/>
      <c r="C18" s="19"/>
      <c r="D18" s="19"/>
      <c r="E18" s="19"/>
    </row>
    <row r="19" spans="1:5" x14ac:dyDescent="0.25">
      <c r="A19" s="1" t="s">
        <v>52</v>
      </c>
      <c r="B19" s="1" t="s">
        <v>50</v>
      </c>
      <c r="D19" s="1" t="s">
        <v>52</v>
      </c>
      <c r="E19" s="1" t="s">
        <v>51</v>
      </c>
    </row>
    <row r="20" spans="1:5" x14ac:dyDescent="0.25">
      <c r="A20" s="2" t="s">
        <v>62</v>
      </c>
      <c r="B20" s="7">
        <f>B16</f>
        <v>739332</v>
      </c>
      <c r="D20" s="2" t="s">
        <v>62</v>
      </c>
      <c r="E20" s="7">
        <f>E16</f>
        <v>689832</v>
      </c>
    </row>
    <row r="21" spans="1:5" x14ac:dyDescent="0.25">
      <c r="A21" s="2" t="s">
        <v>64</v>
      </c>
      <c r="B21" s="7">
        <f>'Costos adicionales'!$B$24</f>
        <v>160740</v>
      </c>
      <c r="D21" s="2" t="s">
        <v>64</v>
      </c>
      <c r="E21" s="7">
        <f>'Costos adicionales'!$B$24</f>
        <v>160740</v>
      </c>
    </row>
    <row r="22" spans="1:5" x14ac:dyDescent="0.25">
      <c r="A22" s="2" t="s">
        <v>65</v>
      </c>
      <c r="B22" s="7">
        <f>Riesgos!$J$13</f>
        <v>133769.79999999999</v>
      </c>
      <c r="D22" s="2" t="s">
        <v>65</v>
      </c>
      <c r="E22" s="7">
        <f>Riesgos!$J$13</f>
        <v>133769.79999999999</v>
      </c>
    </row>
    <row r="23" spans="1:5" x14ac:dyDescent="0.25">
      <c r="A23" s="8" t="s">
        <v>66</v>
      </c>
      <c r="B23" s="9">
        <f>B20+B21+B22</f>
        <v>1033841.8</v>
      </c>
      <c r="D23" s="8" t="s">
        <v>66</v>
      </c>
      <c r="E23" s="9">
        <f>E20+E21+E22</f>
        <v>984341.8</v>
      </c>
    </row>
    <row r="24" spans="1:5" x14ac:dyDescent="0.25">
      <c r="A24" s="2" t="s">
        <v>67</v>
      </c>
      <c r="B24" s="12">
        <f>Inputs!$B$14</f>
        <v>0.35</v>
      </c>
      <c r="D24" s="2" t="s">
        <v>67</v>
      </c>
      <c r="E24" s="12">
        <f>Inputs!$B$14</f>
        <v>0.35</v>
      </c>
    </row>
    <row r="25" spans="1:5" x14ac:dyDescent="0.25">
      <c r="A25" s="8" t="s">
        <v>68</v>
      </c>
      <c r="B25" s="9">
        <f>B23/(1-B24)</f>
        <v>1590525.8461538462</v>
      </c>
      <c r="D25" s="8" t="s">
        <v>68</v>
      </c>
      <c r="E25" s="9">
        <f>E23/(1-E24)</f>
        <v>1514372</v>
      </c>
    </row>
    <row r="26" spans="1:5" ht="30" x14ac:dyDescent="0.25">
      <c r="A26" s="2" t="s">
        <v>69</v>
      </c>
      <c r="B26" s="7">
        <f>ROUNDUP(B25,-3)</f>
        <v>1591000</v>
      </c>
      <c r="D26" s="2" t="s">
        <v>69</v>
      </c>
      <c r="E26" s="7">
        <f>ROUNDUP(E25,-3)</f>
        <v>1515000</v>
      </c>
    </row>
    <row r="27" spans="1:5" x14ac:dyDescent="0.25">
      <c r="A27" s="2" t="s">
        <v>70</v>
      </c>
      <c r="B27" s="7">
        <f>B25-B23</f>
        <v>556684.0461538462</v>
      </c>
      <c r="D27" s="2" t="s">
        <v>70</v>
      </c>
      <c r="E27" s="7">
        <f>E25-E23</f>
        <v>530030.19999999995</v>
      </c>
    </row>
    <row r="28" spans="1:5" x14ac:dyDescent="0.25">
      <c r="A28" s="2" t="s">
        <v>71</v>
      </c>
      <c r="B28" s="12">
        <f>B27/B23</f>
        <v>0.53846153846153844</v>
      </c>
      <c r="D28" s="2" t="s">
        <v>71</v>
      </c>
      <c r="E28" s="12">
        <f>E27/E23</f>
        <v>0.53846153846153844</v>
      </c>
    </row>
    <row r="29" spans="1:5" x14ac:dyDescent="0.25">
      <c r="A29" s="2" t="s">
        <v>72</v>
      </c>
      <c r="B29" s="7">
        <f>B25-B23</f>
        <v>556684.0461538462</v>
      </c>
      <c r="D29" s="2" t="s">
        <v>72</v>
      </c>
      <c r="E29" s="7">
        <f>E25-E23</f>
        <v>530030.19999999995</v>
      </c>
    </row>
    <row r="30" spans="1:5" x14ac:dyDescent="0.25">
      <c r="A30" s="2" t="s">
        <v>73</v>
      </c>
      <c r="B30" s="12">
        <f>B29/B25</f>
        <v>0.35000000000000003</v>
      </c>
      <c r="D30" s="2" t="s">
        <v>73</v>
      </c>
      <c r="E30" s="12">
        <f>E29/E25</f>
        <v>0.35</v>
      </c>
    </row>
  </sheetData>
  <mergeCells count="4">
    <mergeCell ref="A1:D1"/>
    <mergeCell ref="D3:E3"/>
    <mergeCell ref="A3:B3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/>
  </sheetViews>
  <sheetFormatPr baseColWidth="10" defaultColWidth="9.140625" defaultRowHeight="15" x14ac:dyDescent="0.25"/>
  <cols>
    <col min="1" max="1" width="38" customWidth="1"/>
    <col min="2" max="2" width="18" customWidth="1"/>
    <col min="3" max="3" width="4" customWidth="1"/>
    <col min="4" max="4" width="38" customWidth="1"/>
    <col min="5" max="5" width="18" customWidth="1"/>
  </cols>
  <sheetData>
    <row r="1" spans="1:5" ht="21.95" customHeight="1" x14ac:dyDescent="0.25">
      <c r="A1" s="15" t="s">
        <v>84</v>
      </c>
      <c r="B1" s="16"/>
      <c r="C1" s="16"/>
      <c r="D1" s="17"/>
    </row>
    <row r="3" spans="1:5" x14ac:dyDescent="0.25">
      <c r="A3" s="18" t="s">
        <v>50</v>
      </c>
      <c r="B3" s="19"/>
      <c r="D3" s="18" t="s">
        <v>51</v>
      </c>
      <c r="E3" s="19"/>
    </row>
    <row r="4" spans="1:5" x14ac:dyDescent="0.25">
      <c r="A4" s="1" t="s">
        <v>52</v>
      </c>
      <c r="B4" s="1" t="s">
        <v>53</v>
      </c>
      <c r="D4" s="1" t="s">
        <v>52</v>
      </c>
      <c r="E4" s="1" t="s">
        <v>53</v>
      </c>
    </row>
    <row r="5" spans="1:5" x14ac:dyDescent="0.25">
      <c r="A5" s="2" t="s">
        <v>54</v>
      </c>
      <c r="B5" s="7">
        <f>Inputs!$D$27</f>
        <v>67212</v>
      </c>
      <c r="D5" s="2" t="s">
        <v>54</v>
      </c>
      <c r="E5" s="7">
        <f>Inputs!$D$36</f>
        <v>62712</v>
      </c>
    </row>
    <row r="6" spans="1:5" x14ac:dyDescent="0.25">
      <c r="A6" s="2" t="s">
        <v>55</v>
      </c>
      <c r="B6" s="11">
        <f>ROUNDDOWN(Inputs!$B$8/Inputs!$B$6,0)</f>
        <v>20</v>
      </c>
      <c r="D6" s="2" t="s">
        <v>55</v>
      </c>
      <c r="E6" s="11">
        <f>ROUNDDOWN(Inputs!$B$8/Inputs!$B$6,0)</f>
        <v>20</v>
      </c>
    </row>
    <row r="7" spans="1:5" x14ac:dyDescent="0.25">
      <c r="A7" s="2" t="s">
        <v>56</v>
      </c>
      <c r="B7" s="11">
        <f>ROUNDUP(Inputs!$B$8/B6,0)</f>
        <v>7</v>
      </c>
      <c r="D7" s="2" t="s">
        <v>56</v>
      </c>
      <c r="E7" s="11">
        <f>ROUNDUP(Inputs!$B$8/E6,0)</f>
        <v>7</v>
      </c>
    </row>
    <row r="8" spans="1:5" x14ac:dyDescent="0.25">
      <c r="A8" s="2" t="s">
        <v>57</v>
      </c>
      <c r="B8" s="11">
        <f>ROUNDUP(B7*(1+Inputs!$B$12),0)</f>
        <v>9</v>
      </c>
      <c r="D8" s="2" t="s">
        <v>57</v>
      </c>
      <c r="E8" s="11">
        <f>ROUNDUP(E7*(1+Inputs!$B$12),0)</f>
        <v>9</v>
      </c>
    </row>
    <row r="9" spans="1:5" x14ac:dyDescent="0.25">
      <c r="A9" s="2" t="s">
        <v>58</v>
      </c>
      <c r="B9" s="11">
        <f>B7*Inputs!$B$10</f>
        <v>70</v>
      </c>
      <c r="D9" s="2" t="s">
        <v>58</v>
      </c>
      <c r="E9" s="11">
        <f>E7*Inputs!$B$10</f>
        <v>70</v>
      </c>
    </row>
    <row r="10" spans="1:5" x14ac:dyDescent="0.25">
      <c r="A10" s="2" t="s">
        <v>59</v>
      </c>
      <c r="B10" s="11">
        <f>B8*Inputs!$B$10</f>
        <v>90</v>
      </c>
      <c r="D10" s="2" t="s">
        <v>59</v>
      </c>
      <c r="E10" s="11">
        <f>E8*Inputs!$B$10</f>
        <v>90</v>
      </c>
    </row>
    <row r="11" spans="1:5" x14ac:dyDescent="0.25">
      <c r="A11" s="2" t="s">
        <v>60</v>
      </c>
      <c r="B11" s="7">
        <f>B5*(Inputs!$B$10/Inputs!$B$11)</f>
        <v>33606</v>
      </c>
      <c r="D11" s="2" t="s">
        <v>60</v>
      </c>
      <c r="E11" s="7">
        <f>E5*(Inputs!$B$10/Inputs!$B$11)</f>
        <v>31356</v>
      </c>
    </row>
    <row r="12" spans="1:5" x14ac:dyDescent="0.25">
      <c r="A12" s="2" t="s">
        <v>61</v>
      </c>
      <c r="B12" s="7">
        <f>B11*B7</f>
        <v>235242</v>
      </c>
      <c r="D12" s="2" t="s">
        <v>61</v>
      </c>
      <c r="E12" s="7">
        <f>E11*E7</f>
        <v>219492</v>
      </c>
    </row>
    <row r="13" spans="1:5" x14ac:dyDescent="0.25">
      <c r="A13" s="2" t="s">
        <v>62</v>
      </c>
      <c r="B13" s="7">
        <f>B11*B8</f>
        <v>302454</v>
      </c>
      <c r="D13" s="2" t="s">
        <v>62</v>
      </c>
      <c r="E13" s="7">
        <f>E11*E8</f>
        <v>282204</v>
      </c>
    </row>
    <row r="15" spans="1:5" x14ac:dyDescent="0.25">
      <c r="A15" s="18" t="s">
        <v>85</v>
      </c>
      <c r="B15" s="19"/>
      <c r="C15" s="19"/>
      <c r="D15" s="19"/>
      <c r="E15" s="19"/>
    </row>
    <row r="16" spans="1:5" x14ac:dyDescent="0.25">
      <c r="A16" s="1" t="s">
        <v>52</v>
      </c>
      <c r="B16" s="1" t="s">
        <v>86</v>
      </c>
      <c r="D16" s="1" t="s">
        <v>52</v>
      </c>
      <c r="E16" s="1" t="s">
        <v>87</v>
      </c>
    </row>
    <row r="17" spans="1:5" x14ac:dyDescent="0.25">
      <c r="A17" s="2" t="s">
        <v>88</v>
      </c>
      <c r="B17" s="12">
        <f>Inputs!$B$16</f>
        <v>0.8</v>
      </c>
      <c r="D17" s="2" t="s">
        <v>88</v>
      </c>
      <c r="E17" s="12">
        <f>Inputs!$B$16</f>
        <v>0.8</v>
      </c>
    </row>
    <row r="18" spans="1:5" x14ac:dyDescent="0.25">
      <c r="A18" s="2" t="s">
        <v>89</v>
      </c>
      <c r="B18" s="12">
        <f>Inputs!$B$17</f>
        <v>0.2</v>
      </c>
      <c r="D18" s="2" t="s">
        <v>89</v>
      </c>
      <c r="E18" s="12">
        <f>Inputs!$B$17</f>
        <v>0.2</v>
      </c>
    </row>
    <row r="19" spans="1:5" x14ac:dyDescent="0.25">
      <c r="A19" s="2" t="s">
        <v>90</v>
      </c>
      <c r="B19" s="7">
        <f>B11*Inputs!$B$16</f>
        <v>26884.800000000003</v>
      </c>
      <c r="D19" s="2" t="s">
        <v>90</v>
      </c>
      <c r="E19" s="7">
        <f>E11*Inputs!$B$16</f>
        <v>25084.800000000003</v>
      </c>
    </row>
    <row r="20" spans="1:5" x14ac:dyDescent="0.25">
      <c r="A20" s="2" t="s">
        <v>91</v>
      </c>
      <c r="B20" s="7">
        <f>B11*Inputs!$B$17</f>
        <v>6721.2000000000007</v>
      </c>
      <c r="D20" s="2" t="s">
        <v>91</v>
      </c>
      <c r="E20" s="7">
        <f>E11*Inputs!$B$17</f>
        <v>6271.2000000000007</v>
      </c>
    </row>
    <row r="22" spans="1:5" x14ac:dyDescent="0.25">
      <c r="A22" s="18" t="s">
        <v>63</v>
      </c>
      <c r="B22" s="19"/>
      <c r="C22" s="19"/>
      <c r="D22" s="19"/>
      <c r="E22" s="19"/>
    </row>
    <row r="23" spans="1:5" x14ac:dyDescent="0.25">
      <c r="A23" s="1" t="s">
        <v>52</v>
      </c>
      <c r="B23" s="1" t="s">
        <v>50</v>
      </c>
      <c r="D23" s="1" t="s">
        <v>52</v>
      </c>
      <c r="E23" s="1" t="s">
        <v>51</v>
      </c>
    </row>
    <row r="24" spans="1:5" x14ac:dyDescent="0.25">
      <c r="A24" s="2" t="s">
        <v>62</v>
      </c>
      <c r="B24" s="7">
        <f>B13</f>
        <v>302454</v>
      </c>
      <c r="D24" s="2" t="s">
        <v>62</v>
      </c>
      <c r="E24" s="7">
        <f>E13</f>
        <v>282204</v>
      </c>
    </row>
    <row r="25" spans="1:5" x14ac:dyDescent="0.25">
      <c r="A25" s="2" t="s">
        <v>64</v>
      </c>
      <c r="B25" s="7">
        <f>'Costos adicionales'!$B$12</f>
        <v>105870</v>
      </c>
      <c r="D25" s="2" t="s">
        <v>64</v>
      </c>
      <c r="E25" s="7">
        <f>'Costos adicionales'!$B$12</f>
        <v>105870</v>
      </c>
    </row>
    <row r="26" spans="1:5" x14ac:dyDescent="0.25">
      <c r="A26" s="2" t="s">
        <v>65</v>
      </c>
      <c r="B26" s="7">
        <f>Riesgos!$J$13</f>
        <v>133769.79999999999</v>
      </c>
      <c r="D26" s="2" t="s">
        <v>65</v>
      </c>
      <c r="E26" s="7">
        <f>Riesgos!$J$13</f>
        <v>133769.79999999999</v>
      </c>
    </row>
    <row r="27" spans="1:5" x14ac:dyDescent="0.25">
      <c r="A27" s="8" t="s">
        <v>66</v>
      </c>
      <c r="B27" s="9">
        <f>B24+B25+B26</f>
        <v>542093.80000000005</v>
      </c>
      <c r="D27" s="8" t="s">
        <v>66</v>
      </c>
      <c r="E27" s="9">
        <f>E24+E25+E26</f>
        <v>521843.8</v>
      </c>
    </row>
    <row r="28" spans="1:5" x14ac:dyDescent="0.25">
      <c r="A28" s="2" t="s">
        <v>67</v>
      </c>
      <c r="B28" s="12">
        <f>Inputs!$B$14</f>
        <v>0.35</v>
      </c>
      <c r="D28" s="2" t="s">
        <v>67</v>
      </c>
      <c r="E28" s="12">
        <f>Inputs!$B$14</f>
        <v>0.35</v>
      </c>
    </row>
    <row r="29" spans="1:5" x14ac:dyDescent="0.25">
      <c r="A29" s="8" t="s">
        <v>68</v>
      </c>
      <c r="B29" s="9">
        <f>B27/(1-B28)</f>
        <v>833990.46153846162</v>
      </c>
      <c r="D29" s="8" t="s">
        <v>68</v>
      </c>
      <c r="E29" s="9">
        <f>E27/(1-E28)</f>
        <v>802836.61538461538</v>
      </c>
    </row>
    <row r="30" spans="1:5" ht="30" x14ac:dyDescent="0.25">
      <c r="A30" s="2" t="s">
        <v>69</v>
      </c>
      <c r="B30" s="7">
        <f>ROUNDUP(B29,-3)</f>
        <v>834000</v>
      </c>
      <c r="D30" s="2" t="s">
        <v>69</v>
      </c>
      <c r="E30" s="7">
        <f>ROUNDUP(E29,-3)</f>
        <v>803000</v>
      </c>
    </row>
    <row r="31" spans="1:5" x14ac:dyDescent="0.25">
      <c r="A31" s="2" t="s">
        <v>70</v>
      </c>
      <c r="B31" s="7">
        <f>B29-B27</f>
        <v>291896.66153846157</v>
      </c>
      <c r="D31" s="2" t="s">
        <v>70</v>
      </c>
      <c r="E31" s="7">
        <f>E29-E27</f>
        <v>280992.81538461539</v>
      </c>
    </row>
    <row r="32" spans="1:5" x14ac:dyDescent="0.25">
      <c r="A32" s="2" t="s">
        <v>71</v>
      </c>
      <c r="B32" s="12">
        <f>B31/B27</f>
        <v>0.53846153846153844</v>
      </c>
      <c r="D32" s="2" t="s">
        <v>71</v>
      </c>
      <c r="E32" s="12">
        <f>E31/E27</f>
        <v>0.53846153846153844</v>
      </c>
    </row>
    <row r="33" spans="1:5" x14ac:dyDescent="0.25">
      <c r="A33" s="2" t="s">
        <v>72</v>
      </c>
      <c r="B33" s="7">
        <f>B29-B27</f>
        <v>291896.66153846157</v>
      </c>
      <c r="D33" s="2" t="s">
        <v>72</v>
      </c>
      <c r="E33" s="7">
        <f>E29-E27</f>
        <v>280992.81538461539</v>
      </c>
    </row>
    <row r="34" spans="1:5" x14ac:dyDescent="0.25">
      <c r="A34" s="2" t="s">
        <v>73</v>
      </c>
      <c r="B34" s="12">
        <f>B33/B29</f>
        <v>0.35000000000000003</v>
      </c>
      <c r="D34" s="2" t="s">
        <v>73</v>
      </c>
      <c r="E34" s="12">
        <f>E33/E29</f>
        <v>0.35000000000000003</v>
      </c>
    </row>
  </sheetData>
  <mergeCells count="5">
    <mergeCell ref="A1:D1"/>
    <mergeCell ref="A15:E15"/>
    <mergeCell ref="D3:E3"/>
    <mergeCell ref="A3:B3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/>
  </sheetViews>
  <sheetFormatPr baseColWidth="10" defaultColWidth="9.140625" defaultRowHeight="15" x14ac:dyDescent="0.25"/>
  <cols>
    <col min="1" max="1" width="38" customWidth="1"/>
    <col min="2" max="2" width="18" customWidth="1"/>
    <col min="3" max="3" width="4" customWidth="1"/>
    <col min="4" max="4" width="38" customWidth="1"/>
    <col min="5" max="5" width="18" customWidth="1"/>
  </cols>
  <sheetData>
    <row r="1" spans="1:5" ht="21.95" customHeight="1" x14ac:dyDescent="0.25">
      <c r="A1" s="15" t="s">
        <v>92</v>
      </c>
      <c r="B1" s="16"/>
      <c r="C1" s="16"/>
      <c r="D1" s="17"/>
    </row>
    <row r="3" spans="1:5" x14ac:dyDescent="0.25">
      <c r="A3" s="18" t="s">
        <v>50</v>
      </c>
      <c r="B3" s="19"/>
      <c r="D3" s="18" t="s">
        <v>51</v>
      </c>
      <c r="E3" s="19"/>
    </row>
    <row r="4" spans="1:5" x14ac:dyDescent="0.25">
      <c r="A4" s="1" t="s">
        <v>52</v>
      </c>
      <c r="B4" s="1" t="s">
        <v>53</v>
      </c>
      <c r="D4" s="1" t="s">
        <v>52</v>
      </c>
      <c r="E4" s="1" t="s">
        <v>53</v>
      </c>
    </row>
    <row r="5" spans="1:5" x14ac:dyDescent="0.25">
      <c r="A5" s="2" t="s">
        <v>54</v>
      </c>
      <c r="B5" s="7">
        <f>Inputs!$D$46</f>
        <v>72308</v>
      </c>
      <c r="D5" s="2" t="s">
        <v>54</v>
      </c>
      <c r="E5" s="7">
        <f>Inputs!$D$56</f>
        <v>67808</v>
      </c>
    </row>
    <row r="6" spans="1:5" x14ac:dyDescent="0.25">
      <c r="A6" s="2" t="s">
        <v>55</v>
      </c>
      <c r="B6" s="11">
        <f>ROUNDDOWN(Inputs!$B$8/Inputs!$B$6,0)</f>
        <v>20</v>
      </c>
      <c r="D6" s="2" t="s">
        <v>55</v>
      </c>
      <c r="E6" s="11">
        <f>ROUNDDOWN(Inputs!$B$8/Inputs!$B$6,0)</f>
        <v>20</v>
      </c>
    </row>
    <row r="7" spans="1:5" x14ac:dyDescent="0.25">
      <c r="A7" s="2" t="s">
        <v>56</v>
      </c>
      <c r="B7" s="11">
        <f>ROUNDUP(Inputs!$B$8/B6,0)</f>
        <v>7</v>
      </c>
      <c r="D7" s="2" t="s">
        <v>56</v>
      </c>
      <c r="E7" s="11">
        <f>ROUNDUP(Inputs!$B$8/E6,0)</f>
        <v>7</v>
      </c>
    </row>
    <row r="8" spans="1:5" x14ac:dyDescent="0.25">
      <c r="A8" s="2" t="s">
        <v>57</v>
      </c>
      <c r="B8" s="11">
        <f>ROUNDUP(B7*(1+Inputs!$B$13),0)</f>
        <v>8</v>
      </c>
      <c r="D8" s="2" t="s">
        <v>57</v>
      </c>
      <c r="E8" s="11">
        <f>ROUNDUP(E7*(1+Inputs!$B$13),0)</f>
        <v>8</v>
      </c>
    </row>
    <row r="9" spans="1:5" x14ac:dyDescent="0.25">
      <c r="A9" s="2" t="s">
        <v>58</v>
      </c>
      <c r="B9" s="11">
        <f>B7*Inputs!$B$10</f>
        <v>70</v>
      </c>
      <c r="D9" s="2" t="s">
        <v>58</v>
      </c>
      <c r="E9" s="11">
        <f>E7*Inputs!$B$10</f>
        <v>70</v>
      </c>
    </row>
    <row r="10" spans="1:5" x14ac:dyDescent="0.25">
      <c r="A10" s="2" t="s">
        <v>59</v>
      </c>
      <c r="B10" s="11">
        <f>B8*Inputs!$B$10</f>
        <v>80</v>
      </c>
      <c r="D10" s="2" t="s">
        <v>59</v>
      </c>
      <c r="E10" s="11">
        <f>E8*Inputs!$B$10</f>
        <v>80</v>
      </c>
    </row>
    <row r="11" spans="1:5" x14ac:dyDescent="0.25">
      <c r="A11" s="2" t="s">
        <v>60</v>
      </c>
      <c r="B11" s="7">
        <f>B5*(Inputs!$B$10/Inputs!$B$11)</f>
        <v>36154</v>
      </c>
      <c r="D11" s="2" t="s">
        <v>60</v>
      </c>
      <c r="E11" s="7">
        <f>E5*(Inputs!$B$10/Inputs!$B$11)</f>
        <v>33904</v>
      </c>
    </row>
    <row r="12" spans="1:5" x14ac:dyDescent="0.25">
      <c r="A12" s="2" t="s">
        <v>61</v>
      </c>
      <c r="B12" s="7">
        <f>B11*B7</f>
        <v>253078</v>
      </c>
      <c r="D12" s="2" t="s">
        <v>61</v>
      </c>
      <c r="E12" s="7">
        <f>E11*E7</f>
        <v>237328</v>
      </c>
    </row>
    <row r="13" spans="1:5" x14ac:dyDescent="0.25">
      <c r="A13" s="2" t="s">
        <v>62</v>
      </c>
      <c r="B13" s="7">
        <f>B11*B8</f>
        <v>289232</v>
      </c>
      <c r="D13" s="2" t="s">
        <v>62</v>
      </c>
      <c r="E13" s="7">
        <f>E11*E8</f>
        <v>271232</v>
      </c>
    </row>
    <row r="15" spans="1:5" x14ac:dyDescent="0.25">
      <c r="A15" s="18" t="s">
        <v>85</v>
      </c>
      <c r="B15" s="19"/>
      <c r="C15" s="19"/>
      <c r="D15" s="19"/>
      <c r="E15" s="19"/>
    </row>
    <row r="16" spans="1:5" x14ac:dyDescent="0.25">
      <c r="A16" s="1" t="s">
        <v>52</v>
      </c>
      <c r="B16" s="1" t="s">
        <v>86</v>
      </c>
      <c r="D16" s="1" t="s">
        <v>52</v>
      </c>
      <c r="E16" s="1" t="s">
        <v>87</v>
      </c>
    </row>
    <row r="17" spans="1:5" x14ac:dyDescent="0.25">
      <c r="A17" s="2" t="s">
        <v>88</v>
      </c>
      <c r="B17" s="12">
        <f>Inputs!$B$16</f>
        <v>0.8</v>
      </c>
      <c r="D17" s="2" t="s">
        <v>88</v>
      </c>
      <c r="E17" s="12">
        <f>Inputs!$B$16</f>
        <v>0.8</v>
      </c>
    </row>
    <row r="18" spans="1:5" x14ac:dyDescent="0.25">
      <c r="A18" s="2" t="s">
        <v>89</v>
      </c>
      <c r="B18" s="12">
        <f>Inputs!$B$17</f>
        <v>0.2</v>
      </c>
      <c r="D18" s="2" t="s">
        <v>89</v>
      </c>
      <c r="E18" s="12">
        <f>Inputs!$B$17</f>
        <v>0.2</v>
      </c>
    </row>
    <row r="19" spans="1:5" x14ac:dyDescent="0.25">
      <c r="A19" s="2" t="s">
        <v>90</v>
      </c>
      <c r="B19" s="7">
        <f>B11*Inputs!$B$16</f>
        <v>28923.200000000001</v>
      </c>
      <c r="D19" s="2" t="s">
        <v>90</v>
      </c>
      <c r="E19" s="7">
        <f>E11*Inputs!$B$16</f>
        <v>27123.200000000001</v>
      </c>
    </row>
    <row r="20" spans="1:5" x14ac:dyDescent="0.25">
      <c r="A20" s="2" t="s">
        <v>91</v>
      </c>
      <c r="B20" s="7">
        <f>B11*Inputs!$B$17</f>
        <v>7230.8</v>
      </c>
      <c r="D20" s="2" t="s">
        <v>91</v>
      </c>
      <c r="E20" s="7">
        <f>E11*Inputs!$B$17</f>
        <v>6780.8</v>
      </c>
    </row>
    <row r="22" spans="1:5" x14ac:dyDescent="0.25">
      <c r="A22" s="18" t="s">
        <v>63</v>
      </c>
      <c r="B22" s="19"/>
      <c r="C22" s="19"/>
      <c r="D22" s="19"/>
      <c r="E22" s="19"/>
    </row>
    <row r="23" spans="1:5" x14ac:dyDescent="0.25">
      <c r="A23" s="1" t="s">
        <v>52</v>
      </c>
      <c r="B23" s="1" t="s">
        <v>50</v>
      </c>
      <c r="D23" s="1" t="s">
        <v>52</v>
      </c>
      <c r="E23" s="1" t="s">
        <v>51</v>
      </c>
    </row>
    <row r="24" spans="1:5" x14ac:dyDescent="0.25">
      <c r="A24" s="2" t="s">
        <v>62</v>
      </c>
      <c r="B24" s="7">
        <f>B13</f>
        <v>289232</v>
      </c>
      <c r="D24" s="2" t="s">
        <v>62</v>
      </c>
      <c r="E24" s="7">
        <f>E13</f>
        <v>271232</v>
      </c>
    </row>
    <row r="25" spans="1:5" x14ac:dyDescent="0.25">
      <c r="A25" s="2" t="s">
        <v>64</v>
      </c>
      <c r="B25" s="7">
        <f>'Costos adicionales'!$B$12</f>
        <v>105870</v>
      </c>
      <c r="D25" s="2" t="s">
        <v>64</v>
      </c>
      <c r="E25" s="7">
        <f>'Costos adicionales'!$B$12</f>
        <v>105870</v>
      </c>
    </row>
    <row r="26" spans="1:5" x14ac:dyDescent="0.25">
      <c r="A26" s="2" t="s">
        <v>65</v>
      </c>
      <c r="B26" s="7">
        <f>Riesgos!$J$13</f>
        <v>133769.79999999999</v>
      </c>
      <c r="D26" s="2" t="s">
        <v>65</v>
      </c>
      <c r="E26" s="7">
        <f>Riesgos!$J$13</f>
        <v>133769.79999999999</v>
      </c>
    </row>
    <row r="27" spans="1:5" x14ac:dyDescent="0.25">
      <c r="A27" s="8" t="s">
        <v>66</v>
      </c>
      <c r="B27" s="9">
        <f>B24+B25+B26</f>
        <v>528871.80000000005</v>
      </c>
      <c r="D27" s="8" t="s">
        <v>66</v>
      </c>
      <c r="E27" s="9">
        <f>E24+E25+E26</f>
        <v>510871.8</v>
      </c>
    </row>
    <row r="28" spans="1:5" x14ac:dyDescent="0.25">
      <c r="A28" s="2" t="s">
        <v>67</v>
      </c>
      <c r="B28" s="12">
        <f>Inputs!$B$15</f>
        <v>0.35</v>
      </c>
      <c r="D28" s="2" t="s">
        <v>67</v>
      </c>
      <c r="E28" s="12">
        <f>Inputs!$B$15</f>
        <v>0.35</v>
      </c>
    </row>
    <row r="29" spans="1:5" x14ac:dyDescent="0.25">
      <c r="A29" s="8" t="s">
        <v>68</v>
      </c>
      <c r="B29" s="9">
        <f>B27/(1-B28)</f>
        <v>813648.92307692312</v>
      </c>
      <c r="D29" s="8" t="s">
        <v>68</v>
      </c>
      <c r="E29" s="9">
        <f>E27/(1-E28)</f>
        <v>785956.61538461538</v>
      </c>
    </row>
    <row r="30" spans="1:5" ht="30" x14ac:dyDescent="0.25">
      <c r="A30" s="2" t="s">
        <v>69</v>
      </c>
      <c r="B30" s="7">
        <f>ROUNDUP(B29,-3)</f>
        <v>814000</v>
      </c>
      <c r="D30" s="2" t="s">
        <v>69</v>
      </c>
      <c r="E30" s="7">
        <f>ROUNDUP(E29,-3)</f>
        <v>786000</v>
      </c>
    </row>
    <row r="31" spans="1:5" x14ac:dyDescent="0.25">
      <c r="A31" s="2" t="s">
        <v>70</v>
      </c>
      <c r="B31" s="7">
        <f>B29-B27</f>
        <v>284777.12307692308</v>
      </c>
      <c r="D31" s="2" t="s">
        <v>70</v>
      </c>
      <c r="E31" s="7">
        <f>E29-E27</f>
        <v>275084.81538461539</v>
      </c>
    </row>
    <row r="32" spans="1:5" x14ac:dyDescent="0.25">
      <c r="A32" s="2" t="s">
        <v>71</v>
      </c>
      <c r="B32" s="12">
        <f>B31/B27</f>
        <v>0.53846153846153844</v>
      </c>
      <c r="D32" s="2" t="s">
        <v>71</v>
      </c>
      <c r="E32" s="12">
        <f>E31/E27</f>
        <v>0.53846153846153844</v>
      </c>
    </row>
    <row r="33" spans="1:5" x14ac:dyDescent="0.25">
      <c r="A33" s="2" t="s">
        <v>72</v>
      </c>
      <c r="B33" s="7">
        <f>B29-B27</f>
        <v>284777.12307692308</v>
      </c>
      <c r="D33" s="2" t="s">
        <v>72</v>
      </c>
      <c r="E33" s="7">
        <f>E29-E27</f>
        <v>275084.81538461539</v>
      </c>
    </row>
    <row r="34" spans="1:5" x14ac:dyDescent="0.25">
      <c r="A34" s="2" t="s">
        <v>73</v>
      </c>
      <c r="B34" s="12">
        <f>B33/B29</f>
        <v>0.35</v>
      </c>
      <c r="D34" s="2" t="s">
        <v>73</v>
      </c>
      <c r="E34" s="12">
        <f>E33/E29</f>
        <v>0.35000000000000003</v>
      </c>
    </row>
  </sheetData>
  <mergeCells count="5">
    <mergeCell ref="A1:D1"/>
    <mergeCell ref="A15:E15"/>
    <mergeCell ref="D3:E3"/>
    <mergeCell ref="A3:B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baseColWidth="10" defaultColWidth="9.140625" defaultRowHeight="15" x14ac:dyDescent="0.25"/>
  <cols>
    <col min="1" max="1" width="18" customWidth="1"/>
    <col min="2" max="3" width="22" customWidth="1"/>
    <col min="4" max="4" width="24" customWidth="1"/>
    <col min="5" max="5" width="18" customWidth="1"/>
  </cols>
  <sheetData>
    <row r="1" spans="1:5" x14ac:dyDescent="0.25">
      <c r="A1" s="15" t="s">
        <v>93</v>
      </c>
      <c r="B1" s="16"/>
      <c r="C1" s="16"/>
      <c r="D1" s="16"/>
      <c r="E1" s="17"/>
    </row>
    <row r="3" spans="1:5" ht="30" x14ac:dyDescent="0.25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</row>
    <row r="4" spans="1:5" x14ac:dyDescent="0.25">
      <c r="A4" s="2" t="s">
        <v>99</v>
      </c>
      <c r="B4" s="7">
        <f>Scrum!B22</f>
        <v>833990.46153846162</v>
      </c>
      <c r="C4" s="7">
        <f>Scrum!B20</f>
        <v>542093.80000000005</v>
      </c>
      <c r="D4" s="7">
        <f>B4-C4</f>
        <v>291896.66153846157</v>
      </c>
      <c r="E4" s="12">
        <f>D4/B4</f>
        <v>0.35000000000000003</v>
      </c>
    </row>
    <row r="5" spans="1:5" x14ac:dyDescent="0.25">
      <c r="A5" s="2" t="s">
        <v>100</v>
      </c>
      <c r="B5" s="7">
        <f>Kanban!B25</f>
        <v>1590525.8461538462</v>
      </c>
      <c r="C5" s="7">
        <f>Kanban!B23</f>
        <v>1033841.8</v>
      </c>
      <c r="D5" s="7">
        <f>B5-C5</f>
        <v>556684.0461538462</v>
      </c>
      <c r="E5" s="12">
        <f>D5/B5</f>
        <v>0.35000000000000003</v>
      </c>
    </row>
    <row r="6" spans="1:5" x14ac:dyDescent="0.25">
      <c r="A6" s="2" t="s">
        <v>101</v>
      </c>
      <c r="B6" s="7">
        <f>Scrumban!B29</f>
        <v>833990.46153846162</v>
      </c>
      <c r="C6" s="7">
        <f>Scrumban!B27</f>
        <v>542093.80000000005</v>
      </c>
      <c r="D6" s="7">
        <f>B6-C6</f>
        <v>291896.66153846157</v>
      </c>
      <c r="E6" s="12">
        <f>D6/B6</f>
        <v>0.35000000000000003</v>
      </c>
    </row>
    <row r="7" spans="1:5" x14ac:dyDescent="0.25">
      <c r="A7" s="2" t="s">
        <v>102</v>
      </c>
      <c r="B7" s="7">
        <f>'XP + Scrumban'!B29</f>
        <v>813648.92307692312</v>
      </c>
      <c r="C7" s="7">
        <f>'XP + Scrumban'!B27</f>
        <v>528871.80000000005</v>
      </c>
      <c r="D7" s="7">
        <f>B7-C7</f>
        <v>284777.12307692308</v>
      </c>
      <c r="E7" s="12">
        <f>D7/B7</f>
        <v>0.35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baseColWidth="10" defaultColWidth="9.140625" defaultRowHeight="15" x14ac:dyDescent="0.25"/>
  <cols>
    <col min="1" max="1" width="18" customWidth="1"/>
    <col min="2" max="2" width="22" customWidth="1"/>
    <col min="3" max="3" width="28" customWidth="1"/>
    <col min="4" max="4" width="20" customWidth="1"/>
    <col min="5" max="6" width="14" customWidth="1"/>
    <col min="7" max="7" width="16" customWidth="1"/>
    <col min="8" max="8" width="42" customWidth="1"/>
  </cols>
  <sheetData>
    <row r="1" spans="1:8" x14ac:dyDescent="0.25">
      <c r="A1" s="15" t="s">
        <v>103</v>
      </c>
      <c r="B1" s="16"/>
      <c r="C1" s="16"/>
      <c r="D1" s="16"/>
      <c r="E1" s="16"/>
      <c r="F1" s="16"/>
      <c r="G1" s="16"/>
      <c r="H1" s="17"/>
    </row>
    <row r="3" spans="1:8" ht="30" x14ac:dyDescent="0.25">
      <c r="A3" s="1" t="s">
        <v>94</v>
      </c>
      <c r="B3" s="1" t="s">
        <v>95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</row>
    <row r="4" spans="1:8" x14ac:dyDescent="0.25">
      <c r="A4" s="2" t="s">
        <v>99</v>
      </c>
      <c r="B4" s="7">
        <f>Scrum!B22</f>
        <v>833990.46153846162</v>
      </c>
      <c r="C4" s="7">
        <f>Scrum!B20</f>
        <v>542093.80000000005</v>
      </c>
      <c r="D4" s="7">
        <f>B4-C4</f>
        <v>291896.66153846157</v>
      </c>
      <c r="E4" s="12">
        <f>D4/C4</f>
        <v>0.53846153846153844</v>
      </c>
      <c r="F4" s="12">
        <f>Inputs!$B$76</f>
        <v>0.35000000000000003</v>
      </c>
      <c r="G4" s="13" t="str">
        <f>IF(E4&gt;F4,"Sí","No")</f>
        <v>Sí</v>
      </c>
      <c r="H4" s="13" t="str">
        <f>IF(E4&gt;F4,"Proyecto financieramente atractivo","Replantearse / no conviene")</f>
        <v>Proyecto financieramente atractivo</v>
      </c>
    </row>
    <row r="5" spans="1:8" x14ac:dyDescent="0.25">
      <c r="A5" s="2" t="s">
        <v>100</v>
      </c>
      <c r="B5" s="7">
        <f>Kanban!B25</f>
        <v>1590525.8461538462</v>
      </c>
      <c r="C5" s="7">
        <f>Kanban!B23</f>
        <v>1033841.8</v>
      </c>
      <c r="D5" s="7">
        <f>B5-C5</f>
        <v>556684.0461538462</v>
      </c>
      <c r="E5" s="12">
        <f>D5/C5</f>
        <v>0.53846153846153844</v>
      </c>
      <c r="F5" s="12">
        <f>Inputs!$B$76</f>
        <v>0.35000000000000003</v>
      </c>
      <c r="G5" s="13" t="str">
        <f>IF(E5&gt;F5,"Sí","No")</f>
        <v>Sí</v>
      </c>
      <c r="H5" s="13" t="str">
        <f>IF(E5&gt;F5,"Proyecto financieramente atractivo","Replantearse / no conviene")</f>
        <v>Proyecto financieramente atractivo</v>
      </c>
    </row>
    <row r="6" spans="1:8" x14ac:dyDescent="0.25">
      <c r="A6" s="2" t="s">
        <v>101</v>
      </c>
      <c r="B6" s="7">
        <f>Scrumban!B29</f>
        <v>833990.46153846162</v>
      </c>
      <c r="C6" s="7">
        <f>Scrumban!B27</f>
        <v>542093.80000000005</v>
      </c>
      <c r="D6" s="7">
        <f>B6-C6</f>
        <v>291896.66153846157</v>
      </c>
      <c r="E6" s="12">
        <f>D6/C6</f>
        <v>0.53846153846153844</v>
      </c>
      <c r="F6" s="12">
        <f>Inputs!$B$76</f>
        <v>0.35000000000000003</v>
      </c>
      <c r="G6" s="13" t="str">
        <f>IF(E6&gt;F6,"Sí","No")</f>
        <v>Sí</v>
      </c>
      <c r="H6" s="13" t="str">
        <f>IF(E6&gt;F6,"Proyecto financieramente atractivo","Replantearse / no conviene")</f>
        <v>Proyecto financieramente atractivo</v>
      </c>
    </row>
    <row r="7" spans="1:8" x14ac:dyDescent="0.25">
      <c r="A7" s="2" t="s">
        <v>102</v>
      </c>
      <c r="B7" s="7">
        <f>'XP + Scrumban'!B29</f>
        <v>813648.92307692312</v>
      </c>
      <c r="C7" s="7">
        <f>'XP + Scrumban'!B27</f>
        <v>528871.80000000005</v>
      </c>
      <c r="D7" s="7">
        <f>B7-C7</f>
        <v>284777.12307692308</v>
      </c>
      <c r="E7" s="12">
        <f>D7/C7</f>
        <v>0.53846153846153844</v>
      </c>
      <c r="F7" s="12">
        <f>Inputs!$B$76</f>
        <v>0.35000000000000003</v>
      </c>
      <c r="G7" s="13" t="str">
        <f>IF(E7&gt;F7,"Sí","No")</f>
        <v>Sí</v>
      </c>
      <c r="H7" s="13" t="str">
        <f>IF(E7&gt;F7,"Proyecto financieramente atractivo","Replantearse / no conviene")</f>
        <v>Proyecto financieramente atractivo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6" customWidth="1"/>
    <col min="2" max="2" width="50" customWidth="1"/>
    <col min="3" max="3" width="18" customWidth="1"/>
    <col min="4" max="5" width="14" customWidth="1"/>
    <col min="6" max="6" width="10" customWidth="1"/>
    <col min="7" max="7" width="16" customWidth="1"/>
    <col min="8" max="8" width="14" customWidth="1"/>
    <col min="9" max="9" width="20" customWidth="1"/>
    <col min="10" max="10" width="18" customWidth="1"/>
    <col min="11" max="11" width="50" customWidth="1"/>
    <col min="12" max="12" width="22" customWidth="1"/>
  </cols>
  <sheetData>
    <row r="1" spans="1:12" ht="21.95" customHeight="1" x14ac:dyDescent="0.25">
      <c r="A1" s="15" t="s">
        <v>110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3" spans="1:12" ht="30" x14ac:dyDescent="0.25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120</v>
      </c>
      <c r="K3" s="1" t="s">
        <v>121</v>
      </c>
      <c r="L3" s="1" t="s">
        <v>122</v>
      </c>
    </row>
    <row r="4" spans="1:12" ht="30" x14ac:dyDescent="0.25">
      <c r="A4" s="2" t="s">
        <v>123</v>
      </c>
      <c r="B4" s="2" t="s">
        <v>124</v>
      </c>
      <c r="C4" s="2" t="s">
        <v>125</v>
      </c>
      <c r="D4" s="2" t="s">
        <v>126</v>
      </c>
      <c r="E4" s="2" t="s">
        <v>127</v>
      </c>
      <c r="F4" s="2" t="s">
        <v>127</v>
      </c>
      <c r="G4" s="5">
        <v>0.4</v>
      </c>
      <c r="H4" s="5">
        <v>1</v>
      </c>
      <c r="I4" s="7">
        <f>(Inputs!$D$46)*H4</f>
        <v>72308</v>
      </c>
      <c r="J4" s="7">
        <f t="shared" ref="J4:J12" si="0">G4*I4</f>
        <v>28923.200000000001</v>
      </c>
      <c r="K4" s="2" t="s">
        <v>128</v>
      </c>
      <c r="L4" s="2" t="s">
        <v>21</v>
      </c>
    </row>
    <row r="5" spans="1:12" ht="30" x14ac:dyDescent="0.25">
      <c r="A5" s="2" t="s">
        <v>129</v>
      </c>
      <c r="B5" s="2" t="s">
        <v>130</v>
      </c>
      <c r="C5" s="2" t="s">
        <v>131</v>
      </c>
      <c r="D5" s="2" t="s">
        <v>126</v>
      </c>
      <c r="E5" s="2" t="s">
        <v>132</v>
      </c>
      <c r="F5" s="2" t="s">
        <v>132</v>
      </c>
      <c r="G5" s="5">
        <v>0.4</v>
      </c>
      <c r="H5" s="5">
        <v>0.5</v>
      </c>
      <c r="I5" s="7">
        <f>(Inputs!$D$46)*H5</f>
        <v>36154</v>
      </c>
      <c r="J5" s="7">
        <f t="shared" si="0"/>
        <v>14461.6</v>
      </c>
      <c r="K5" s="2" t="s">
        <v>133</v>
      </c>
      <c r="L5" s="2" t="s">
        <v>134</v>
      </c>
    </row>
    <row r="6" spans="1:12" x14ac:dyDescent="0.25">
      <c r="A6" s="2" t="s">
        <v>135</v>
      </c>
      <c r="B6" s="2" t="s">
        <v>136</v>
      </c>
      <c r="C6" s="2" t="s">
        <v>137</v>
      </c>
      <c r="D6" s="2" t="s">
        <v>138</v>
      </c>
      <c r="E6" s="2" t="s">
        <v>132</v>
      </c>
      <c r="F6" s="2" t="s">
        <v>132</v>
      </c>
      <c r="G6" s="5">
        <v>0.2</v>
      </c>
      <c r="H6" s="5">
        <v>0.5</v>
      </c>
      <c r="I6" s="7">
        <f>(Inputs!$D$46)*H6</f>
        <v>36154</v>
      </c>
      <c r="J6" s="7">
        <f t="shared" si="0"/>
        <v>7230.8</v>
      </c>
      <c r="K6" s="2" t="s">
        <v>139</v>
      </c>
      <c r="L6" s="2" t="s">
        <v>22</v>
      </c>
    </row>
    <row r="7" spans="1:12" ht="30" x14ac:dyDescent="0.25">
      <c r="A7" s="2" t="s">
        <v>140</v>
      </c>
      <c r="B7" s="2" t="s">
        <v>141</v>
      </c>
      <c r="C7" s="2" t="s">
        <v>125</v>
      </c>
      <c r="D7" s="2" t="s">
        <v>138</v>
      </c>
      <c r="E7" s="2" t="s">
        <v>127</v>
      </c>
      <c r="F7" s="2" t="s">
        <v>127</v>
      </c>
      <c r="G7" s="5">
        <v>0.2</v>
      </c>
      <c r="H7" s="5">
        <v>1</v>
      </c>
      <c r="I7" s="7">
        <f>(Inputs!$D$46)*H7</f>
        <v>72308</v>
      </c>
      <c r="J7" s="7">
        <f t="shared" si="0"/>
        <v>14461.6</v>
      </c>
      <c r="K7" s="2" t="s">
        <v>142</v>
      </c>
      <c r="L7" s="2" t="s">
        <v>22</v>
      </c>
    </row>
    <row r="8" spans="1:12" ht="30" x14ac:dyDescent="0.25">
      <c r="A8" s="2" t="s">
        <v>143</v>
      </c>
      <c r="B8" s="2" t="s">
        <v>144</v>
      </c>
      <c r="C8" s="2" t="s">
        <v>145</v>
      </c>
      <c r="D8" s="2" t="s">
        <v>138</v>
      </c>
      <c r="E8" s="2" t="s">
        <v>132</v>
      </c>
      <c r="F8" s="2" t="s">
        <v>132</v>
      </c>
      <c r="G8" s="5">
        <v>0.2</v>
      </c>
      <c r="H8" s="5">
        <v>0.5</v>
      </c>
      <c r="I8" s="7">
        <f>(Inputs!$D$46)*H8</f>
        <v>36154</v>
      </c>
      <c r="J8" s="7">
        <f t="shared" si="0"/>
        <v>7230.8</v>
      </c>
      <c r="K8" s="2" t="s">
        <v>146</v>
      </c>
      <c r="L8" s="2" t="s">
        <v>22</v>
      </c>
    </row>
    <row r="9" spans="1:12" ht="30" x14ac:dyDescent="0.25">
      <c r="A9" s="2" t="s">
        <v>147</v>
      </c>
      <c r="B9" s="2" t="s">
        <v>148</v>
      </c>
      <c r="C9" s="2" t="s">
        <v>149</v>
      </c>
      <c r="D9" s="2" t="s">
        <v>138</v>
      </c>
      <c r="E9" s="2" t="s">
        <v>150</v>
      </c>
      <c r="F9" s="2" t="s">
        <v>150</v>
      </c>
      <c r="G9" s="5">
        <v>0.2</v>
      </c>
      <c r="H9" s="5">
        <v>0.25</v>
      </c>
      <c r="I9" s="7">
        <f>(Inputs!$D$46)*H9</f>
        <v>18077</v>
      </c>
      <c r="J9" s="7">
        <f t="shared" si="0"/>
        <v>3615.4</v>
      </c>
      <c r="K9" s="2" t="s">
        <v>151</v>
      </c>
      <c r="L9" s="2" t="s">
        <v>21</v>
      </c>
    </row>
    <row r="10" spans="1:12" ht="30" x14ac:dyDescent="0.25">
      <c r="A10" s="2" t="s">
        <v>152</v>
      </c>
      <c r="B10" s="2" t="s">
        <v>153</v>
      </c>
      <c r="C10" s="2" t="s">
        <v>154</v>
      </c>
      <c r="D10" s="2" t="s">
        <v>126</v>
      </c>
      <c r="E10" s="2" t="s">
        <v>127</v>
      </c>
      <c r="F10" s="2" t="s">
        <v>127</v>
      </c>
      <c r="G10" s="5">
        <v>0.4</v>
      </c>
      <c r="H10" s="5">
        <v>1</v>
      </c>
      <c r="I10" s="7">
        <f>(Inputs!$D$46)*H10</f>
        <v>72308</v>
      </c>
      <c r="J10" s="7">
        <f t="shared" si="0"/>
        <v>28923.200000000001</v>
      </c>
      <c r="K10" s="2" t="s">
        <v>155</v>
      </c>
      <c r="L10" s="2" t="s">
        <v>21</v>
      </c>
    </row>
    <row r="11" spans="1:12" ht="30" x14ac:dyDescent="0.25">
      <c r="A11" s="2" t="s">
        <v>156</v>
      </c>
      <c r="B11" s="2" t="s">
        <v>157</v>
      </c>
      <c r="C11" s="2" t="s">
        <v>158</v>
      </c>
      <c r="D11" s="2" t="s">
        <v>138</v>
      </c>
      <c r="E11" s="2" t="s">
        <v>159</v>
      </c>
      <c r="F11" s="2" t="s">
        <v>127</v>
      </c>
      <c r="G11" s="5">
        <v>0.2</v>
      </c>
      <c r="H11" s="5">
        <v>1.5</v>
      </c>
      <c r="I11" s="7">
        <f>(Inputs!$D$46)*H11</f>
        <v>108462</v>
      </c>
      <c r="J11" s="7">
        <f t="shared" si="0"/>
        <v>21692.400000000001</v>
      </c>
      <c r="K11" s="2" t="s">
        <v>160</v>
      </c>
      <c r="L11" s="2" t="s">
        <v>161</v>
      </c>
    </row>
    <row r="12" spans="1:12" ht="30" x14ac:dyDescent="0.25">
      <c r="A12" s="2" t="s">
        <v>162</v>
      </c>
      <c r="B12" s="2" t="s">
        <v>163</v>
      </c>
      <c r="C12" s="2" t="s">
        <v>125</v>
      </c>
      <c r="D12" s="2" t="s">
        <v>138</v>
      </c>
      <c r="E12" s="2" t="s">
        <v>132</v>
      </c>
      <c r="F12" s="2" t="s">
        <v>132</v>
      </c>
      <c r="G12" s="5">
        <v>0.2</v>
      </c>
      <c r="H12" s="5">
        <v>0.5</v>
      </c>
      <c r="I12" s="7">
        <f>(Inputs!$D$46)*H12</f>
        <v>36154</v>
      </c>
      <c r="J12" s="7">
        <f t="shared" si="0"/>
        <v>7230.8</v>
      </c>
      <c r="K12" s="2" t="s">
        <v>164</v>
      </c>
      <c r="L12" s="2" t="s">
        <v>21</v>
      </c>
    </row>
    <row r="13" spans="1:12" ht="45" x14ac:dyDescent="0.25">
      <c r="H13" s="8" t="s">
        <v>165</v>
      </c>
      <c r="J13" s="9">
        <f>SUM(J4:J12)</f>
        <v>133769.79999999999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workbookViewId="0"/>
  </sheetViews>
  <sheetFormatPr baseColWidth="10" defaultColWidth="9.140625" defaultRowHeight="15" x14ac:dyDescent="0.25"/>
  <cols>
    <col min="1" max="1" width="55" customWidth="1"/>
    <col min="2" max="2" width="20" customWidth="1"/>
    <col min="3" max="5" width="4" customWidth="1"/>
    <col min="6" max="6" width="55" customWidth="1"/>
    <col min="7" max="7" width="20" customWidth="1"/>
  </cols>
  <sheetData>
    <row r="1" spans="1:7" x14ac:dyDescent="0.25">
      <c r="A1" s="15" t="s">
        <v>166</v>
      </c>
      <c r="B1" s="16"/>
      <c r="C1" s="16"/>
      <c r="D1" s="17"/>
    </row>
    <row r="2" spans="1:7" x14ac:dyDescent="0.25">
      <c r="F2" s="18" t="s">
        <v>167</v>
      </c>
      <c r="G2" s="19"/>
    </row>
    <row r="3" spans="1:7" x14ac:dyDescent="0.25">
      <c r="A3" s="18" t="s">
        <v>168</v>
      </c>
      <c r="B3" s="19"/>
      <c r="F3" s="1" t="s">
        <v>169</v>
      </c>
      <c r="G3" s="1" t="s">
        <v>170</v>
      </c>
    </row>
    <row r="4" spans="1:7" x14ac:dyDescent="0.25">
      <c r="A4" s="1" t="s">
        <v>169</v>
      </c>
      <c r="B4" s="1" t="s">
        <v>171</v>
      </c>
      <c r="F4" s="2" t="s">
        <v>172</v>
      </c>
      <c r="G4" s="6">
        <v>750</v>
      </c>
    </row>
    <row r="5" spans="1:7" x14ac:dyDescent="0.25">
      <c r="A5" s="2" t="s">
        <v>173</v>
      </c>
      <c r="B5" s="7">
        <f>$G$4*6</f>
        <v>4500</v>
      </c>
      <c r="F5" s="2" t="s">
        <v>174</v>
      </c>
      <c r="G5" s="6">
        <v>13000</v>
      </c>
    </row>
    <row r="6" spans="1:7" x14ac:dyDescent="0.25">
      <c r="A6" s="2" t="s">
        <v>175</v>
      </c>
      <c r="B6" s="7">
        <f>($G$5*3)+($G$6*2)</f>
        <v>51000</v>
      </c>
      <c r="F6" s="2" t="s">
        <v>176</v>
      </c>
      <c r="G6" s="6">
        <v>6000</v>
      </c>
    </row>
    <row r="7" spans="1:7" x14ac:dyDescent="0.25">
      <c r="A7" s="2" t="s">
        <v>177</v>
      </c>
      <c r="B7" s="7">
        <f>$G$7*6</f>
        <v>4500</v>
      </c>
      <c r="F7" s="2" t="s">
        <v>178</v>
      </c>
      <c r="G7" s="6">
        <v>750</v>
      </c>
    </row>
    <row r="8" spans="1:7" x14ac:dyDescent="0.25">
      <c r="A8" s="2" t="s">
        <v>179</v>
      </c>
      <c r="B8" s="7">
        <f>$G$8*6</f>
        <v>13500</v>
      </c>
      <c r="F8" s="2" t="s">
        <v>180</v>
      </c>
      <c r="G8" s="6">
        <v>2250</v>
      </c>
    </row>
    <row r="9" spans="1:7" x14ac:dyDescent="0.25">
      <c r="A9" s="2" t="s">
        <v>181</v>
      </c>
      <c r="B9" s="7">
        <f>$G$9*6</f>
        <v>30000</v>
      </c>
      <c r="F9" s="2" t="s">
        <v>182</v>
      </c>
      <c r="G9" s="6">
        <v>5000</v>
      </c>
    </row>
    <row r="10" spans="1:7" x14ac:dyDescent="0.25">
      <c r="A10" s="2" t="s">
        <v>183</v>
      </c>
      <c r="B10" s="7">
        <f>$G$10*6</f>
        <v>1170</v>
      </c>
      <c r="F10" s="2" t="s">
        <v>184</v>
      </c>
      <c r="G10" s="6">
        <v>195</v>
      </c>
    </row>
    <row r="11" spans="1:7" x14ac:dyDescent="0.25">
      <c r="A11" s="2" t="s">
        <v>185</v>
      </c>
      <c r="B11" s="7">
        <f>$G$11*6</f>
        <v>1200</v>
      </c>
      <c r="F11" s="2" t="s">
        <v>186</v>
      </c>
      <c r="G11" s="6">
        <v>200</v>
      </c>
    </row>
    <row r="12" spans="1:7" x14ac:dyDescent="0.25">
      <c r="A12" s="8" t="s">
        <v>187</v>
      </c>
      <c r="B12" s="9">
        <f>SUM(B5:B11)</f>
        <v>105870</v>
      </c>
    </row>
    <row r="15" spans="1:7" x14ac:dyDescent="0.25">
      <c r="A15" s="18" t="s">
        <v>188</v>
      </c>
      <c r="B15" s="19"/>
    </row>
    <row r="16" spans="1:7" x14ac:dyDescent="0.25">
      <c r="A16" s="1" t="s">
        <v>169</v>
      </c>
      <c r="B16" s="1" t="s">
        <v>171</v>
      </c>
    </row>
    <row r="17" spans="1:2" x14ac:dyDescent="0.25">
      <c r="A17" s="2" t="s">
        <v>189</v>
      </c>
      <c r="B17" s="7">
        <f>$G$4*12</f>
        <v>9000</v>
      </c>
    </row>
    <row r="18" spans="1:2" x14ac:dyDescent="0.25">
      <c r="A18" s="2" t="s">
        <v>175</v>
      </c>
      <c r="B18" s="7">
        <f>($G$5*3)+($G$6*2)</f>
        <v>51000</v>
      </c>
    </row>
    <row r="19" spans="1:2" x14ac:dyDescent="0.25">
      <c r="A19" s="2" t="s">
        <v>190</v>
      </c>
      <c r="B19" s="7">
        <f>$G$7*12</f>
        <v>9000</v>
      </c>
    </row>
    <row r="20" spans="1:2" x14ac:dyDescent="0.25">
      <c r="A20" s="2" t="s">
        <v>191</v>
      </c>
      <c r="B20" s="7">
        <f>$G$8*12</f>
        <v>27000</v>
      </c>
    </row>
    <row r="21" spans="1:2" x14ac:dyDescent="0.25">
      <c r="A21" s="2" t="s">
        <v>192</v>
      </c>
      <c r="B21" s="7">
        <f>$G$9*12</f>
        <v>60000</v>
      </c>
    </row>
    <row r="22" spans="1:2" x14ac:dyDescent="0.25">
      <c r="A22" s="2" t="s">
        <v>193</v>
      </c>
      <c r="B22" s="7">
        <f>$G$10*12</f>
        <v>2340</v>
      </c>
    </row>
    <row r="23" spans="1:2" x14ac:dyDescent="0.25">
      <c r="A23" s="2" t="s">
        <v>194</v>
      </c>
      <c r="B23" s="7">
        <f>$G$11*12</f>
        <v>2400</v>
      </c>
    </row>
    <row r="24" spans="1:2" x14ac:dyDescent="0.25">
      <c r="A24" s="8" t="s">
        <v>195</v>
      </c>
      <c r="B24" s="9">
        <f>SUM(B17:B23)</f>
        <v>160740</v>
      </c>
    </row>
  </sheetData>
  <mergeCells count="4">
    <mergeCell ref="A1:D1"/>
    <mergeCell ref="F2:G2"/>
    <mergeCell ref="A3:B3"/>
    <mergeCell ref="A15:B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workbookViewId="0"/>
  </sheetViews>
  <sheetFormatPr baseColWidth="10" defaultColWidth="9.140625" defaultRowHeight="15" x14ac:dyDescent="0.25"/>
  <cols>
    <col min="1" max="1" width="32" customWidth="1"/>
    <col min="2" max="2" width="18" customWidth="1"/>
    <col min="3" max="3" width="60" customWidth="1"/>
  </cols>
  <sheetData>
    <row r="1" spans="1:3" x14ac:dyDescent="0.25">
      <c r="A1" s="15" t="s">
        <v>196</v>
      </c>
      <c r="B1" s="16"/>
      <c r="C1" s="17"/>
    </row>
    <row r="3" spans="1:3" x14ac:dyDescent="0.25">
      <c r="A3" s="18" t="s">
        <v>197</v>
      </c>
      <c r="B3" s="19"/>
      <c r="C3" s="19"/>
    </row>
    <row r="4" spans="1:3" x14ac:dyDescent="0.25">
      <c r="A4" s="1" t="s">
        <v>198</v>
      </c>
      <c r="B4" s="1" t="s">
        <v>53</v>
      </c>
      <c r="C4" s="1" t="s">
        <v>199</v>
      </c>
    </row>
    <row r="5" spans="1:3" x14ac:dyDescent="0.25">
      <c r="A5" s="2" t="s">
        <v>45</v>
      </c>
      <c r="B5" s="12">
        <f>Inputs!$B$73</f>
        <v>0.05</v>
      </c>
      <c r="C5" s="2" t="s">
        <v>200</v>
      </c>
    </row>
    <row r="6" spans="1:3" x14ac:dyDescent="0.25">
      <c r="A6" s="2" t="s">
        <v>46</v>
      </c>
      <c r="B6" s="12">
        <f>Inputs!$B$74</f>
        <v>0.1</v>
      </c>
      <c r="C6" s="2" t="s">
        <v>201</v>
      </c>
    </row>
    <row r="7" spans="1:3" x14ac:dyDescent="0.25">
      <c r="A7" s="2" t="s">
        <v>47</v>
      </c>
      <c r="B7" s="12">
        <f>Inputs!$B$75</f>
        <v>0.2</v>
      </c>
      <c r="C7" s="2" t="s">
        <v>202</v>
      </c>
    </row>
    <row r="8" spans="1:3" x14ac:dyDescent="0.25">
      <c r="A8" s="8" t="s">
        <v>48</v>
      </c>
      <c r="B8" s="10">
        <f>SUM(B5:B7)</f>
        <v>0.35000000000000003</v>
      </c>
    </row>
    <row r="11" spans="1:3" x14ac:dyDescent="0.25">
      <c r="A11" s="18" t="s">
        <v>203</v>
      </c>
      <c r="B11" s="19"/>
      <c r="C11" s="19"/>
    </row>
    <row r="12" spans="1:3" x14ac:dyDescent="0.25">
      <c r="A12" s="1" t="s">
        <v>204</v>
      </c>
      <c r="B12" s="1" t="s">
        <v>205</v>
      </c>
      <c r="C12" s="1" t="s">
        <v>199</v>
      </c>
    </row>
    <row r="13" spans="1:3" x14ac:dyDescent="0.25">
      <c r="A13" s="2" t="s">
        <v>206</v>
      </c>
      <c r="B13" s="2" t="s">
        <v>207</v>
      </c>
      <c r="C13" s="2" t="s">
        <v>208</v>
      </c>
    </row>
    <row r="14" spans="1:3" x14ac:dyDescent="0.25">
      <c r="A14" s="2" t="s">
        <v>209</v>
      </c>
      <c r="B14" s="2" t="s">
        <v>210</v>
      </c>
      <c r="C14" s="2" t="s">
        <v>211</v>
      </c>
    </row>
    <row r="15" spans="1:3" x14ac:dyDescent="0.25">
      <c r="A15" s="2" t="s">
        <v>212</v>
      </c>
      <c r="B15" s="2" t="s">
        <v>213</v>
      </c>
      <c r="C15" s="2" t="s">
        <v>214</v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/>
  </sheetViews>
  <sheetFormatPr baseColWidth="10" defaultColWidth="9.140625" defaultRowHeight="15" x14ac:dyDescent="0.25"/>
  <cols>
    <col min="1" max="1" width="38" customWidth="1"/>
    <col min="2" max="2" width="20" customWidth="1"/>
  </cols>
  <sheetData>
    <row r="1" spans="1:3" x14ac:dyDescent="0.25">
      <c r="A1" s="15" t="s">
        <v>215</v>
      </c>
      <c r="B1" s="16"/>
      <c r="C1" s="17"/>
    </row>
    <row r="3" spans="1:3" x14ac:dyDescent="0.25">
      <c r="A3" s="18" t="s">
        <v>216</v>
      </c>
      <c r="B3" s="19"/>
      <c r="C3" s="19"/>
    </row>
    <row r="4" spans="1:3" x14ac:dyDescent="0.25">
      <c r="A4" s="1" t="s">
        <v>217</v>
      </c>
      <c r="B4" s="1" t="s">
        <v>218</v>
      </c>
    </row>
    <row r="5" spans="1:3" x14ac:dyDescent="0.25">
      <c r="A5" s="2" t="s">
        <v>219</v>
      </c>
      <c r="B5" s="6">
        <v>120000</v>
      </c>
    </row>
    <row r="6" spans="1:3" x14ac:dyDescent="0.25">
      <c r="A6" s="2" t="s">
        <v>220</v>
      </c>
      <c r="B6" s="6">
        <v>150000</v>
      </c>
    </row>
    <row r="7" spans="1:3" x14ac:dyDescent="0.25">
      <c r="A7" s="2" t="s">
        <v>221</v>
      </c>
      <c r="B7" s="6">
        <v>30000</v>
      </c>
    </row>
    <row r="8" spans="1:3" x14ac:dyDescent="0.25">
      <c r="A8" s="2" t="s">
        <v>222</v>
      </c>
      <c r="B8" s="6">
        <v>100000</v>
      </c>
    </row>
    <row r="9" spans="1:3" x14ac:dyDescent="0.25">
      <c r="A9" s="2" t="s">
        <v>223</v>
      </c>
      <c r="B9" s="6">
        <v>20000</v>
      </c>
    </row>
    <row r="10" spans="1:3" x14ac:dyDescent="0.25">
      <c r="A10" s="2" t="s">
        <v>224</v>
      </c>
      <c r="B10" s="6">
        <v>80000</v>
      </c>
    </row>
    <row r="11" spans="1:3" x14ac:dyDescent="0.25">
      <c r="A11" s="8" t="s">
        <v>225</v>
      </c>
      <c r="B11" s="9">
        <f>SUM(B5:B10)</f>
        <v>500000</v>
      </c>
    </row>
  </sheetData>
  <mergeCells count="2">
    <mergeCell ref="A1:C1"/>
    <mergeCell ref="A3:C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6"/>
  <sheetViews>
    <sheetView workbookViewId="0"/>
  </sheetViews>
  <sheetFormatPr baseColWidth="10" defaultColWidth="9.140625" defaultRowHeight="15" x14ac:dyDescent="0.25"/>
  <cols>
    <col min="1" max="1" width="10" customWidth="1"/>
    <col min="2" max="2" width="16" customWidth="1"/>
    <col min="3" max="3" width="70" customWidth="1"/>
    <col min="4" max="4" width="16" customWidth="1"/>
  </cols>
  <sheetData>
    <row r="1" spans="1:4" x14ac:dyDescent="0.25">
      <c r="A1" s="15" t="s">
        <v>226</v>
      </c>
      <c r="B1" s="16"/>
      <c r="C1" s="16"/>
      <c r="D1" s="17"/>
    </row>
    <row r="2" spans="1:4" ht="30" x14ac:dyDescent="0.25">
      <c r="A2" s="1" t="s">
        <v>227</v>
      </c>
      <c r="B2" s="1" t="s">
        <v>228</v>
      </c>
      <c r="C2" s="1" t="s">
        <v>229</v>
      </c>
      <c r="D2" s="1" t="s">
        <v>230</v>
      </c>
    </row>
    <row r="3" spans="1:4" x14ac:dyDescent="0.25">
      <c r="A3" s="2" t="s">
        <v>231</v>
      </c>
      <c r="B3" s="2" t="s">
        <v>232</v>
      </c>
      <c r="C3" s="2" t="s">
        <v>233</v>
      </c>
      <c r="D3" s="3">
        <v>4</v>
      </c>
    </row>
    <row r="4" spans="1:4" x14ac:dyDescent="0.25">
      <c r="A4" s="2" t="s">
        <v>231</v>
      </c>
      <c r="B4" s="2" t="s">
        <v>232</v>
      </c>
      <c r="C4" s="2" t="s">
        <v>234</v>
      </c>
      <c r="D4" s="3">
        <v>5</v>
      </c>
    </row>
    <row r="5" spans="1:4" x14ac:dyDescent="0.25">
      <c r="A5" s="2" t="s">
        <v>231</v>
      </c>
      <c r="B5" s="2" t="s">
        <v>232</v>
      </c>
      <c r="C5" s="2" t="s">
        <v>235</v>
      </c>
      <c r="D5" s="3">
        <v>5</v>
      </c>
    </row>
    <row r="6" spans="1:4" x14ac:dyDescent="0.25">
      <c r="A6" s="2" t="s">
        <v>231</v>
      </c>
      <c r="B6" s="2" t="s">
        <v>232</v>
      </c>
      <c r="C6" s="2" t="s">
        <v>236</v>
      </c>
      <c r="D6" s="3">
        <v>4</v>
      </c>
    </row>
    <row r="7" spans="1:4" x14ac:dyDescent="0.25">
      <c r="A7" s="2" t="s">
        <v>231</v>
      </c>
      <c r="B7" s="2" t="s">
        <v>232</v>
      </c>
      <c r="C7" s="2" t="s">
        <v>237</v>
      </c>
      <c r="D7" s="3">
        <v>5</v>
      </c>
    </row>
    <row r="8" spans="1:4" x14ac:dyDescent="0.25">
      <c r="A8" s="2" t="s">
        <v>231</v>
      </c>
      <c r="B8" s="2" t="s">
        <v>232</v>
      </c>
      <c r="C8" s="2" t="s">
        <v>238</v>
      </c>
      <c r="D8" s="3">
        <v>4</v>
      </c>
    </row>
    <row r="9" spans="1:4" x14ac:dyDescent="0.25">
      <c r="A9" s="2" t="s">
        <v>231</v>
      </c>
      <c r="B9" s="2" t="s">
        <v>239</v>
      </c>
      <c r="C9" s="2" t="s">
        <v>240</v>
      </c>
      <c r="D9" s="3">
        <v>4</v>
      </c>
    </row>
    <row r="10" spans="1:4" x14ac:dyDescent="0.25">
      <c r="A10" s="2" t="s">
        <v>231</v>
      </c>
      <c r="B10" s="2" t="s">
        <v>239</v>
      </c>
      <c r="C10" s="2" t="s">
        <v>241</v>
      </c>
      <c r="D10" s="3">
        <v>5</v>
      </c>
    </row>
    <row r="11" spans="1:4" x14ac:dyDescent="0.25">
      <c r="A11" s="2" t="s">
        <v>231</v>
      </c>
      <c r="B11" s="2" t="s">
        <v>239</v>
      </c>
      <c r="C11" s="2" t="s">
        <v>242</v>
      </c>
      <c r="D11" s="3">
        <v>4</v>
      </c>
    </row>
    <row r="12" spans="1:4" x14ac:dyDescent="0.25">
      <c r="A12" s="2" t="s">
        <v>231</v>
      </c>
      <c r="B12" s="2" t="s">
        <v>239</v>
      </c>
      <c r="C12" s="2" t="s">
        <v>243</v>
      </c>
      <c r="D12" s="3">
        <v>4</v>
      </c>
    </row>
    <row r="13" spans="1:4" x14ac:dyDescent="0.25">
      <c r="A13" s="2" t="s">
        <v>231</v>
      </c>
      <c r="B13" s="2" t="s">
        <v>239</v>
      </c>
      <c r="C13" s="2" t="s">
        <v>244</v>
      </c>
      <c r="D13" s="3">
        <v>5</v>
      </c>
    </row>
    <row r="14" spans="1:4" x14ac:dyDescent="0.25">
      <c r="A14" s="2" t="s">
        <v>231</v>
      </c>
      <c r="B14" s="2" t="s">
        <v>245</v>
      </c>
      <c r="C14" s="2" t="s">
        <v>246</v>
      </c>
      <c r="D14" s="3">
        <v>4</v>
      </c>
    </row>
    <row r="15" spans="1:4" x14ac:dyDescent="0.25">
      <c r="A15" s="2" t="s">
        <v>231</v>
      </c>
      <c r="B15" s="2" t="s">
        <v>245</v>
      </c>
      <c r="C15" s="2" t="s">
        <v>247</v>
      </c>
      <c r="D15" s="3">
        <v>5</v>
      </c>
    </row>
    <row r="16" spans="1:4" x14ac:dyDescent="0.25">
      <c r="A16" s="2" t="s">
        <v>231</v>
      </c>
      <c r="B16" s="2" t="s">
        <v>245</v>
      </c>
      <c r="C16" s="2" t="s">
        <v>248</v>
      </c>
      <c r="D16" s="3">
        <v>4</v>
      </c>
    </row>
    <row r="17" spans="1:4" x14ac:dyDescent="0.25">
      <c r="A17" s="2" t="s">
        <v>231</v>
      </c>
      <c r="B17" s="2" t="s">
        <v>245</v>
      </c>
      <c r="C17" s="2" t="s">
        <v>249</v>
      </c>
      <c r="D17" s="3">
        <v>5</v>
      </c>
    </row>
    <row r="18" spans="1:4" x14ac:dyDescent="0.25">
      <c r="A18" s="2" t="s">
        <v>231</v>
      </c>
      <c r="B18" s="2" t="s">
        <v>245</v>
      </c>
      <c r="C18" s="2" t="s">
        <v>250</v>
      </c>
      <c r="D18" s="3">
        <v>5</v>
      </c>
    </row>
    <row r="19" spans="1:4" x14ac:dyDescent="0.25">
      <c r="A19" s="2" t="s">
        <v>231</v>
      </c>
      <c r="B19" s="2" t="s">
        <v>245</v>
      </c>
      <c r="C19" s="2" t="s">
        <v>251</v>
      </c>
      <c r="D19" s="3">
        <v>5</v>
      </c>
    </row>
    <row r="20" spans="1:4" x14ac:dyDescent="0.25">
      <c r="A20" s="2" t="s">
        <v>231</v>
      </c>
      <c r="B20" s="2" t="s">
        <v>252</v>
      </c>
      <c r="C20" s="2" t="s">
        <v>253</v>
      </c>
      <c r="D20" s="3">
        <v>4</v>
      </c>
    </row>
    <row r="21" spans="1:4" x14ac:dyDescent="0.25">
      <c r="A21" s="2" t="s">
        <v>231</v>
      </c>
      <c r="B21" s="2" t="s">
        <v>252</v>
      </c>
      <c r="C21" s="2" t="s">
        <v>254</v>
      </c>
      <c r="D21" s="3">
        <v>5</v>
      </c>
    </row>
    <row r="22" spans="1:4" x14ac:dyDescent="0.25">
      <c r="A22" s="2" t="s">
        <v>231</v>
      </c>
      <c r="B22" s="2" t="s">
        <v>252</v>
      </c>
      <c r="C22" s="2" t="s">
        <v>255</v>
      </c>
      <c r="D22" s="3">
        <v>4</v>
      </c>
    </row>
    <row r="23" spans="1:4" x14ac:dyDescent="0.25">
      <c r="A23" s="2" t="s">
        <v>231</v>
      </c>
      <c r="B23" s="2" t="s">
        <v>256</v>
      </c>
      <c r="C23" s="2" t="s">
        <v>257</v>
      </c>
      <c r="D23" s="3">
        <v>4</v>
      </c>
    </row>
    <row r="24" spans="1:4" x14ac:dyDescent="0.25">
      <c r="A24" s="2" t="s">
        <v>231</v>
      </c>
      <c r="B24" s="2" t="s">
        <v>256</v>
      </c>
      <c r="C24" s="2" t="s">
        <v>258</v>
      </c>
      <c r="D24" s="3">
        <v>4</v>
      </c>
    </row>
    <row r="25" spans="1:4" x14ac:dyDescent="0.25">
      <c r="A25" s="2" t="s">
        <v>231</v>
      </c>
      <c r="B25" s="2" t="s">
        <v>256</v>
      </c>
      <c r="C25" s="2" t="s">
        <v>259</v>
      </c>
      <c r="D25" s="3">
        <v>4</v>
      </c>
    </row>
    <row r="26" spans="1:4" x14ac:dyDescent="0.25">
      <c r="A26" s="2" t="s">
        <v>231</v>
      </c>
      <c r="B26" s="2" t="s">
        <v>260</v>
      </c>
      <c r="C26" s="2" t="s">
        <v>261</v>
      </c>
      <c r="D26" s="3">
        <v>5</v>
      </c>
    </row>
    <row r="27" spans="1:4" x14ac:dyDescent="0.25">
      <c r="A27" s="2" t="s">
        <v>231</v>
      </c>
      <c r="B27" s="2" t="s">
        <v>260</v>
      </c>
      <c r="C27" s="2" t="s">
        <v>262</v>
      </c>
      <c r="D27" s="3">
        <v>5</v>
      </c>
    </row>
    <row r="28" spans="1:4" x14ac:dyDescent="0.25">
      <c r="A28" s="2" t="s">
        <v>231</v>
      </c>
      <c r="B28" s="2" t="s">
        <v>260</v>
      </c>
      <c r="C28" s="2" t="s">
        <v>263</v>
      </c>
      <c r="D28" s="3">
        <v>5</v>
      </c>
    </row>
    <row r="29" spans="1:4" x14ac:dyDescent="0.25">
      <c r="A29" s="2" t="s">
        <v>231</v>
      </c>
      <c r="B29" s="2" t="s">
        <v>260</v>
      </c>
      <c r="C29" s="2" t="s">
        <v>264</v>
      </c>
      <c r="D29" s="3">
        <v>5</v>
      </c>
    </row>
    <row r="30" spans="1:4" x14ac:dyDescent="0.25">
      <c r="A30" s="2" t="s">
        <v>231</v>
      </c>
      <c r="B30" s="2" t="s">
        <v>260</v>
      </c>
      <c r="C30" s="2" t="s">
        <v>265</v>
      </c>
      <c r="D30" s="3">
        <v>4</v>
      </c>
    </row>
    <row r="31" spans="1:4" x14ac:dyDescent="0.25">
      <c r="A31" s="2" t="s">
        <v>266</v>
      </c>
      <c r="B31" s="2" t="s">
        <v>267</v>
      </c>
      <c r="C31" s="2" t="s">
        <v>268</v>
      </c>
      <c r="D31" s="3">
        <v>4</v>
      </c>
    </row>
    <row r="32" spans="1:4" x14ac:dyDescent="0.25">
      <c r="A32" s="2" t="s">
        <v>266</v>
      </c>
      <c r="B32" s="2" t="s">
        <v>267</v>
      </c>
      <c r="C32" s="2" t="s">
        <v>269</v>
      </c>
      <c r="D32" s="3">
        <v>4</v>
      </c>
    </row>
    <row r="33" spans="1:4" x14ac:dyDescent="0.25">
      <c r="A33" s="2" t="s">
        <v>266</v>
      </c>
      <c r="B33" s="2" t="s">
        <v>267</v>
      </c>
      <c r="C33" s="2" t="s">
        <v>270</v>
      </c>
      <c r="D33" s="3">
        <v>5</v>
      </c>
    </row>
    <row r="34" spans="1:4" x14ac:dyDescent="0.25">
      <c r="A34" s="2" t="s">
        <v>266</v>
      </c>
      <c r="B34" s="2" t="s">
        <v>267</v>
      </c>
      <c r="C34" s="2" t="s">
        <v>271</v>
      </c>
      <c r="D34" s="3">
        <v>5</v>
      </c>
    </row>
    <row r="35" spans="1:4" x14ac:dyDescent="0.25">
      <c r="A35" s="2" t="s">
        <v>266</v>
      </c>
      <c r="B35" s="2" t="s">
        <v>267</v>
      </c>
      <c r="C35" s="2" t="s">
        <v>272</v>
      </c>
      <c r="D35" s="3">
        <v>5</v>
      </c>
    </row>
    <row r="36" spans="1:4" x14ac:dyDescent="0.25">
      <c r="A36" s="2" t="s">
        <v>266</v>
      </c>
      <c r="B36" s="2" t="s">
        <v>267</v>
      </c>
      <c r="C36" s="2" t="s">
        <v>273</v>
      </c>
      <c r="D36" s="3">
        <v>5</v>
      </c>
    </row>
    <row r="37" spans="1:4" x14ac:dyDescent="0.25">
      <c r="A37" s="2" t="s">
        <v>266</v>
      </c>
      <c r="B37" s="2" t="s">
        <v>274</v>
      </c>
      <c r="C37" s="2" t="s">
        <v>275</v>
      </c>
      <c r="D37" s="3">
        <v>5</v>
      </c>
    </row>
    <row r="38" spans="1:4" x14ac:dyDescent="0.25">
      <c r="A38" s="2" t="s">
        <v>266</v>
      </c>
      <c r="B38" s="2" t="s">
        <v>274</v>
      </c>
      <c r="C38" s="2" t="s">
        <v>276</v>
      </c>
      <c r="D38" s="3">
        <v>5</v>
      </c>
    </row>
    <row r="39" spans="1:4" x14ac:dyDescent="0.25">
      <c r="A39" s="2" t="s">
        <v>266</v>
      </c>
      <c r="B39" s="2" t="s">
        <v>274</v>
      </c>
      <c r="C39" s="2" t="s">
        <v>277</v>
      </c>
      <c r="D39" s="3">
        <v>5</v>
      </c>
    </row>
    <row r="40" spans="1:4" x14ac:dyDescent="0.25">
      <c r="A40" s="2" t="s">
        <v>266</v>
      </c>
      <c r="B40" s="2" t="s">
        <v>274</v>
      </c>
      <c r="C40" s="2" t="s">
        <v>278</v>
      </c>
      <c r="D40" s="3">
        <v>6</v>
      </c>
    </row>
    <row r="41" spans="1:4" x14ac:dyDescent="0.25">
      <c r="A41" s="2" t="s">
        <v>266</v>
      </c>
      <c r="B41" s="2" t="s">
        <v>279</v>
      </c>
      <c r="C41" s="2" t="s">
        <v>280</v>
      </c>
      <c r="D41" s="3">
        <v>5</v>
      </c>
    </row>
    <row r="42" spans="1:4" x14ac:dyDescent="0.25">
      <c r="A42" s="2" t="s">
        <v>266</v>
      </c>
      <c r="B42" s="2" t="s">
        <v>279</v>
      </c>
      <c r="C42" s="2" t="s">
        <v>281</v>
      </c>
      <c r="D42" s="3">
        <v>4</v>
      </c>
    </row>
    <row r="43" spans="1:4" x14ac:dyDescent="0.25">
      <c r="A43" s="2" t="s">
        <v>266</v>
      </c>
      <c r="B43" s="2" t="s">
        <v>279</v>
      </c>
      <c r="C43" s="2" t="s">
        <v>282</v>
      </c>
      <c r="D43" s="3">
        <v>4</v>
      </c>
    </row>
    <row r="44" spans="1:4" x14ac:dyDescent="0.25">
      <c r="A44" s="2" t="s">
        <v>266</v>
      </c>
      <c r="B44" s="2" t="s">
        <v>279</v>
      </c>
      <c r="C44" s="2" t="s">
        <v>283</v>
      </c>
      <c r="D44" s="3">
        <v>5</v>
      </c>
    </row>
    <row r="45" spans="1:4" x14ac:dyDescent="0.25">
      <c r="A45" s="2" t="s">
        <v>266</v>
      </c>
      <c r="B45" s="2" t="s">
        <v>284</v>
      </c>
      <c r="C45" s="2" t="s">
        <v>285</v>
      </c>
      <c r="D45" s="3">
        <v>4</v>
      </c>
    </row>
    <row r="46" spans="1:4" x14ac:dyDescent="0.25">
      <c r="A46" s="2" t="s">
        <v>266</v>
      </c>
      <c r="B46" s="2" t="s">
        <v>284</v>
      </c>
      <c r="C46" s="2" t="s">
        <v>286</v>
      </c>
      <c r="D46" s="3">
        <v>5</v>
      </c>
    </row>
    <row r="47" spans="1:4" x14ac:dyDescent="0.25">
      <c r="A47" s="2" t="s">
        <v>266</v>
      </c>
      <c r="B47" s="2" t="s">
        <v>284</v>
      </c>
      <c r="C47" s="2" t="s">
        <v>287</v>
      </c>
      <c r="D47" s="3">
        <v>5</v>
      </c>
    </row>
    <row r="48" spans="1:4" x14ac:dyDescent="0.25">
      <c r="A48" s="2" t="s">
        <v>266</v>
      </c>
      <c r="B48" s="2" t="s">
        <v>284</v>
      </c>
      <c r="C48" s="2" t="s">
        <v>288</v>
      </c>
      <c r="D48" s="3">
        <v>6</v>
      </c>
    </row>
    <row r="49" spans="1:4" x14ac:dyDescent="0.25">
      <c r="A49" s="2" t="s">
        <v>266</v>
      </c>
      <c r="B49" s="2" t="s">
        <v>284</v>
      </c>
      <c r="C49" s="2" t="s">
        <v>289</v>
      </c>
      <c r="D49" s="3">
        <v>4</v>
      </c>
    </row>
    <row r="50" spans="1:4" x14ac:dyDescent="0.25">
      <c r="A50" s="2" t="s">
        <v>266</v>
      </c>
      <c r="B50" s="2" t="s">
        <v>284</v>
      </c>
      <c r="C50" s="2" t="s">
        <v>290</v>
      </c>
      <c r="D50" s="3">
        <v>6</v>
      </c>
    </row>
    <row r="51" spans="1:4" x14ac:dyDescent="0.25">
      <c r="A51" s="2" t="s">
        <v>266</v>
      </c>
      <c r="B51" s="2" t="s">
        <v>291</v>
      </c>
      <c r="C51" s="2" t="s">
        <v>292</v>
      </c>
      <c r="D51" s="3">
        <v>5</v>
      </c>
    </row>
    <row r="52" spans="1:4" x14ac:dyDescent="0.25">
      <c r="A52" s="2" t="s">
        <v>266</v>
      </c>
      <c r="B52" s="2" t="s">
        <v>291</v>
      </c>
      <c r="C52" s="2" t="s">
        <v>293</v>
      </c>
      <c r="D52" s="3">
        <v>5</v>
      </c>
    </row>
    <row r="53" spans="1:4" x14ac:dyDescent="0.25">
      <c r="A53" s="2" t="s">
        <v>266</v>
      </c>
      <c r="B53" s="2" t="s">
        <v>291</v>
      </c>
      <c r="C53" s="2" t="s">
        <v>294</v>
      </c>
      <c r="D53" s="3">
        <v>5</v>
      </c>
    </row>
    <row r="54" spans="1:4" x14ac:dyDescent="0.25">
      <c r="A54" s="2" t="s">
        <v>266</v>
      </c>
      <c r="B54" s="2" t="s">
        <v>291</v>
      </c>
      <c r="C54" s="2" t="s">
        <v>295</v>
      </c>
      <c r="D54" s="3">
        <v>5</v>
      </c>
    </row>
    <row r="55" spans="1:4" x14ac:dyDescent="0.25">
      <c r="A55" s="2" t="s">
        <v>266</v>
      </c>
      <c r="B55" s="2" t="s">
        <v>296</v>
      </c>
      <c r="C55" s="2" t="s">
        <v>297</v>
      </c>
      <c r="D55" s="3">
        <v>5</v>
      </c>
    </row>
    <row r="56" spans="1:4" x14ac:dyDescent="0.25">
      <c r="A56" s="2" t="s">
        <v>266</v>
      </c>
      <c r="B56" s="2" t="s">
        <v>296</v>
      </c>
      <c r="C56" s="2" t="s">
        <v>298</v>
      </c>
      <c r="D56" s="3">
        <v>4</v>
      </c>
    </row>
    <row r="57" spans="1:4" x14ac:dyDescent="0.25">
      <c r="A57" s="2" t="s">
        <v>266</v>
      </c>
      <c r="B57" s="2" t="s">
        <v>296</v>
      </c>
      <c r="C57" s="2" t="s">
        <v>299</v>
      </c>
      <c r="D57" s="3">
        <v>4</v>
      </c>
    </row>
    <row r="58" spans="1:4" x14ac:dyDescent="0.25">
      <c r="A58" s="2" t="s">
        <v>266</v>
      </c>
      <c r="B58" s="2" t="s">
        <v>296</v>
      </c>
      <c r="C58" s="2" t="s">
        <v>300</v>
      </c>
      <c r="D58" s="3">
        <v>6</v>
      </c>
    </row>
    <row r="59" spans="1:4" x14ac:dyDescent="0.25">
      <c r="A59" s="2" t="s">
        <v>301</v>
      </c>
      <c r="B59" s="2" t="s">
        <v>302</v>
      </c>
      <c r="C59" s="2" t="s">
        <v>303</v>
      </c>
      <c r="D59" s="3">
        <v>4</v>
      </c>
    </row>
    <row r="60" spans="1:4" x14ac:dyDescent="0.25">
      <c r="A60" s="2" t="s">
        <v>301</v>
      </c>
      <c r="B60" s="2" t="s">
        <v>302</v>
      </c>
      <c r="C60" s="2" t="s">
        <v>304</v>
      </c>
      <c r="D60" s="3">
        <v>5</v>
      </c>
    </row>
    <row r="61" spans="1:4" x14ac:dyDescent="0.25">
      <c r="A61" s="2" t="s">
        <v>301</v>
      </c>
      <c r="B61" s="2" t="s">
        <v>302</v>
      </c>
      <c r="C61" s="2" t="s">
        <v>305</v>
      </c>
      <c r="D61" s="3">
        <v>4</v>
      </c>
    </row>
    <row r="62" spans="1:4" x14ac:dyDescent="0.25">
      <c r="A62" s="2" t="s">
        <v>301</v>
      </c>
      <c r="B62" s="2" t="s">
        <v>302</v>
      </c>
      <c r="C62" s="2" t="s">
        <v>306</v>
      </c>
      <c r="D62" s="3">
        <v>5</v>
      </c>
    </row>
    <row r="63" spans="1:4" x14ac:dyDescent="0.25">
      <c r="A63" s="2" t="s">
        <v>301</v>
      </c>
      <c r="B63" s="2" t="s">
        <v>302</v>
      </c>
      <c r="C63" s="2" t="s">
        <v>307</v>
      </c>
      <c r="D63" s="3">
        <v>5</v>
      </c>
    </row>
    <row r="64" spans="1:4" x14ac:dyDescent="0.25">
      <c r="A64" s="2" t="s">
        <v>301</v>
      </c>
      <c r="B64" s="2" t="s">
        <v>308</v>
      </c>
      <c r="C64" s="2" t="s">
        <v>309</v>
      </c>
      <c r="D64" s="3">
        <v>4</v>
      </c>
    </row>
    <row r="65" spans="1:4" x14ac:dyDescent="0.25">
      <c r="A65" s="2" t="s">
        <v>301</v>
      </c>
      <c r="B65" s="2" t="s">
        <v>308</v>
      </c>
      <c r="C65" s="2" t="s">
        <v>310</v>
      </c>
      <c r="D65" s="3">
        <v>4</v>
      </c>
    </row>
    <row r="66" spans="1:4" x14ac:dyDescent="0.25">
      <c r="A66" s="2" t="s">
        <v>301</v>
      </c>
      <c r="B66" s="2" t="s">
        <v>308</v>
      </c>
      <c r="C66" s="2" t="s">
        <v>311</v>
      </c>
      <c r="D66" s="3">
        <v>5</v>
      </c>
    </row>
    <row r="67" spans="1:4" x14ac:dyDescent="0.25">
      <c r="A67" s="2" t="s">
        <v>301</v>
      </c>
      <c r="B67" s="2" t="s">
        <v>308</v>
      </c>
      <c r="C67" s="2" t="s">
        <v>312</v>
      </c>
      <c r="D67" s="3">
        <v>4</v>
      </c>
    </row>
    <row r="68" spans="1:4" x14ac:dyDescent="0.25">
      <c r="A68" s="2" t="s">
        <v>301</v>
      </c>
      <c r="B68" s="2" t="s">
        <v>308</v>
      </c>
      <c r="C68" s="2" t="s">
        <v>313</v>
      </c>
      <c r="D68" s="3">
        <v>5</v>
      </c>
    </row>
    <row r="69" spans="1:4" x14ac:dyDescent="0.25">
      <c r="A69" s="2" t="s">
        <v>301</v>
      </c>
      <c r="B69" s="2" t="s">
        <v>314</v>
      </c>
      <c r="C69" s="2" t="s">
        <v>315</v>
      </c>
      <c r="D69" s="3">
        <v>4</v>
      </c>
    </row>
    <row r="70" spans="1:4" x14ac:dyDescent="0.25">
      <c r="A70" s="2" t="s">
        <v>301</v>
      </c>
      <c r="B70" s="2" t="s">
        <v>314</v>
      </c>
      <c r="C70" s="2" t="s">
        <v>254</v>
      </c>
      <c r="D70" s="3">
        <v>5</v>
      </c>
    </row>
    <row r="71" spans="1:4" x14ac:dyDescent="0.25">
      <c r="A71" s="2" t="s">
        <v>301</v>
      </c>
      <c r="B71" s="2" t="s">
        <v>314</v>
      </c>
      <c r="C71" s="2" t="s">
        <v>255</v>
      </c>
      <c r="D71" s="3">
        <v>4</v>
      </c>
    </row>
    <row r="72" spans="1:4" x14ac:dyDescent="0.25">
      <c r="A72" s="2" t="s">
        <v>301</v>
      </c>
      <c r="B72" s="2" t="s">
        <v>316</v>
      </c>
      <c r="C72" s="2" t="s">
        <v>317</v>
      </c>
      <c r="D72" s="3">
        <v>4</v>
      </c>
    </row>
    <row r="73" spans="1:4" x14ac:dyDescent="0.25">
      <c r="A73" s="2" t="s">
        <v>301</v>
      </c>
      <c r="B73" s="2" t="s">
        <v>316</v>
      </c>
      <c r="C73" s="2" t="s">
        <v>318</v>
      </c>
      <c r="D73" s="3">
        <v>5</v>
      </c>
    </row>
    <row r="74" spans="1:4" x14ac:dyDescent="0.25">
      <c r="A74" s="2" t="s">
        <v>301</v>
      </c>
      <c r="B74" s="2" t="s">
        <v>316</v>
      </c>
      <c r="C74" s="2" t="s">
        <v>319</v>
      </c>
      <c r="D74" s="3">
        <v>4</v>
      </c>
    </row>
    <row r="75" spans="1:4" x14ac:dyDescent="0.25">
      <c r="A75" s="2" t="s">
        <v>301</v>
      </c>
      <c r="B75" s="2" t="s">
        <v>316</v>
      </c>
      <c r="C75" s="2" t="s">
        <v>320</v>
      </c>
      <c r="D75" s="3">
        <v>5</v>
      </c>
    </row>
    <row r="76" spans="1:4" x14ac:dyDescent="0.25">
      <c r="A76" s="2" t="s">
        <v>301</v>
      </c>
      <c r="B76" s="2" t="s">
        <v>321</v>
      </c>
      <c r="C76" s="2" t="s">
        <v>322</v>
      </c>
      <c r="D76" s="3">
        <v>4</v>
      </c>
    </row>
    <row r="77" spans="1:4" x14ac:dyDescent="0.25">
      <c r="A77" s="2" t="s">
        <v>301</v>
      </c>
      <c r="B77" s="2" t="s">
        <v>321</v>
      </c>
      <c r="C77" s="2" t="s">
        <v>323</v>
      </c>
      <c r="D77" s="3">
        <v>4</v>
      </c>
    </row>
    <row r="78" spans="1:4" x14ac:dyDescent="0.25">
      <c r="A78" s="2" t="s">
        <v>301</v>
      </c>
      <c r="B78" s="2" t="s">
        <v>321</v>
      </c>
      <c r="C78" s="2" t="s">
        <v>324</v>
      </c>
      <c r="D78" s="3">
        <v>4</v>
      </c>
    </row>
    <row r="79" spans="1:4" x14ac:dyDescent="0.25">
      <c r="A79" s="2" t="s">
        <v>301</v>
      </c>
      <c r="B79" s="2" t="s">
        <v>325</v>
      </c>
      <c r="C79" s="2" t="s">
        <v>326</v>
      </c>
      <c r="D79" s="3">
        <v>4</v>
      </c>
    </row>
    <row r="80" spans="1:4" x14ac:dyDescent="0.25">
      <c r="A80" s="2" t="s">
        <v>301</v>
      </c>
      <c r="B80" s="2" t="s">
        <v>325</v>
      </c>
      <c r="C80" s="2" t="s">
        <v>327</v>
      </c>
      <c r="D80" s="3">
        <v>4</v>
      </c>
    </row>
    <row r="81" spans="1:4" ht="30" x14ac:dyDescent="0.25">
      <c r="A81" s="2" t="s">
        <v>301</v>
      </c>
      <c r="B81" s="2" t="s">
        <v>325</v>
      </c>
      <c r="C81" s="2" t="s">
        <v>328</v>
      </c>
      <c r="D81" s="3">
        <v>5</v>
      </c>
    </row>
    <row r="82" spans="1:4" x14ac:dyDescent="0.25">
      <c r="A82" s="2" t="s">
        <v>301</v>
      </c>
      <c r="B82" s="2" t="s">
        <v>325</v>
      </c>
      <c r="C82" s="2" t="s">
        <v>329</v>
      </c>
      <c r="D82" s="3">
        <v>5</v>
      </c>
    </row>
    <row r="83" spans="1:4" x14ac:dyDescent="0.25">
      <c r="A83" s="2" t="s">
        <v>301</v>
      </c>
      <c r="B83" s="2" t="s">
        <v>325</v>
      </c>
      <c r="C83" s="2" t="s">
        <v>330</v>
      </c>
      <c r="D83" s="3">
        <v>4</v>
      </c>
    </row>
    <row r="84" spans="1:4" x14ac:dyDescent="0.25">
      <c r="A84" s="2" t="s">
        <v>301</v>
      </c>
      <c r="B84" s="2" t="s">
        <v>325</v>
      </c>
      <c r="C84" s="2" t="s">
        <v>331</v>
      </c>
      <c r="D84" s="3">
        <v>5</v>
      </c>
    </row>
    <row r="85" spans="1:4" ht="30" x14ac:dyDescent="0.25">
      <c r="A85" s="2" t="s">
        <v>301</v>
      </c>
      <c r="B85" s="2" t="s">
        <v>325</v>
      </c>
      <c r="C85" s="2" t="s">
        <v>332</v>
      </c>
      <c r="D85" s="3">
        <v>6</v>
      </c>
    </row>
    <row r="86" spans="1:4" ht="30" x14ac:dyDescent="0.25">
      <c r="A86" s="2" t="s">
        <v>301</v>
      </c>
      <c r="B86" s="2" t="s">
        <v>333</v>
      </c>
      <c r="C86" s="2" t="s">
        <v>334</v>
      </c>
      <c r="D86" s="3">
        <v>6</v>
      </c>
    </row>
    <row r="87" spans="1:4" ht="30" x14ac:dyDescent="0.25">
      <c r="A87" s="2" t="s">
        <v>301</v>
      </c>
      <c r="B87" s="2" t="s">
        <v>333</v>
      </c>
      <c r="C87" s="2" t="s">
        <v>335</v>
      </c>
      <c r="D87" s="3">
        <v>6</v>
      </c>
    </row>
    <row r="88" spans="1:4" ht="30" x14ac:dyDescent="0.25">
      <c r="A88" s="2" t="s">
        <v>301</v>
      </c>
      <c r="B88" s="2" t="s">
        <v>333</v>
      </c>
      <c r="C88" s="2" t="s">
        <v>336</v>
      </c>
      <c r="D88" s="3">
        <v>7</v>
      </c>
    </row>
    <row r="89" spans="1:4" ht="30" x14ac:dyDescent="0.25">
      <c r="A89" s="2" t="s">
        <v>337</v>
      </c>
      <c r="B89" s="2" t="s">
        <v>338</v>
      </c>
      <c r="C89" s="2" t="s">
        <v>339</v>
      </c>
      <c r="D89" s="3">
        <v>10</v>
      </c>
    </row>
    <row r="90" spans="1:4" ht="30" x14ac:dyDescent="0.25">
      <c r="A90" s="2" t="s">
        <v>337</v>
      </c>
      <c r="B90" s="2" t="s">
        <v>338</v>
      </c>
      <c r="C90" s="2" t="s">
        <v>340</v>
      </c>
      <c r="D90" s="3">
        <v>7</v>
      </c>
    </row>
    <row r="91" spans="1:4" ht="30" x14ac:dyDescent="0.25">
      <c r="A91" s="2" t="s">
        <v>337</v>
      </c>
      <c r="B91" s="2" t="s">
        <v>338</v>
      </c>
      <c r="C91" s="2" t="s">
        <v>341</v>
      </c>
      <c r="D91" s="3">
        <v>7</v>
      </c>
    </row>
    <row r="92" spans="1:4" x14ac:dyDescent="0.25">
      <c r="A92" s="2" t="s">
        <v>337</v>
      </c>
      <c r="B92" s="2" t="s">
        <v>338</v>
      </c>
      <c r="C92" s="2" t="s">
        <v>342</v>
      </c>
      <c r="D92" s="3">
        <v>4</v>
      </c>
    </row>
    <row r="93" spans="1:4" x14ac:dyDescent="0.25">
      <c r="A93" s="2" t="s">
        <v>337</v>
      </c>
      <c r="B93" s="2" t="s">
        <v>343</v>
      </c>
      <c r="C93" s="2" t="s">
        <v>344</v>
      </c>
      <c r="D93" s="3">
        <v>9</v>
      </c>
    </row>
    <row r="94" spans="1:4" ht="30" x14ac:dyDescent="0.25">
      <c r="A94" s="2" t="s">
        <v>337</v>
      </c>
      <c r="B94" s="2" t="s">
        <v>343</v>
      </c>
      <c r="C94" s="2" t="s">
        <v>345</v>
      </c>
      <c r="D94" s="3">
        <v>7</v>
      </c>
    </row>
    <row r="95" spans="1:4" x14ac:dyDescent="0.25">
      <c r="A95" s="2" t="s">
        <v>337</v>
      </c>
      <c r="B95" s="2" t="s">
        <v>343</v>
      </c>
      <c r="C95" s="2" t="s">
        <v>346</v>
      </c>
      <c r="D95" s="3">
        <v>7</v>
      </c>
    </row>
    <row r="96" spans="1:4" x14ac:dyDescent="0.25">
      <c r="A96" s="2" t="s">
        <v>337</v>
      </c>
      <c r="B96" s="2" t="s">
        <v>347</v>
      </c>
      <c r="C96" s="2" t="s">
        <v>348</v>
      </c>
      <c r="D96" s="3">
        <v>5</v>
      </c>
    </row>
    <row r="97" spans="1:4" x14ac:dyDescent="0.25">
      <c r="A97" s="2" t="s">
        <v>337</v>
      </c>
      <c r="B97" s="2" t="s">
        <v>347</v>
      </c>
      <c r="C97" s="2" t="s">
        <v>349</v>
      </c>
      <c r="D97" s="3">
        <v>6</v>
      </c>
    </row>
    <row r="98" spans="1:4" x14ac:dyDescent="0.25">
      <c r="A98" s="2" t="s">
        <v>337</v>
      </c>
      <c r="B98" s="2" t="s">
        <v>347</v>
      </c>
      <c r="C98" s="2" t="s">
        <v>350</v>
      </c>
      <c r="D98" s="3">
        <v>5</v>
      </c>
    </row>
    <row r="99" spans="1:4" x14ac:dyDescent="0.25">
      <c r="A99" s="2" t="s">
        <v>351</v>
      </c>
      <c r="B99" s="2" t="s">
        <v>352</v>
      </c>
      <c r="C99" s="2" t="s">
        <v>353</v>
      </c>
      <c r="D99" s="3">
        <v>9</v>
      </c>
    </row>
    <row r="100" spans="1:4" x14ac:dyDescent="0.25">
      <c r="A100" s="2" t="s">
        <v>351</v>
      </c>
      <c r="B100" s="2" t="s">
        <v>352</v>
      </c>
      <c r="C100" s="2" t="s">
        <v>354</v>
      </c>
      <c r="D100" s="3">
        <v>5</v>
      </c>
    </row>
    <row r="101" spans="1:4" x14ac:dyDescent="0.25">
      <c r="A101" s="2" t="s">
        <v>351</v>
      </c>
      <c r="B101" s="2" t="s">
        <v>355</v>
      </c>
      <c r="C101" s="2" t="s">
        <v>356</v>
      </c>
      <c r="D101" s="3">
        <v>5</v>
      </c>
    </row>
    <row r="102" spans="1:4" x14ac:dyDescent="0.25">
      <c r="A102" s="2" t="s">
        <v>351</v>
      </c>
      <c r="B102" s="2" t="s">
        <v>355</v>
      </c>
      <c r="C102" s="2" t="s">
        <v>357</v>
      </c>
      <c r="D102" s="3">
        <v>7</v>
      </c>
    </row>
    <row r="103" spans="1:4" x14ac:dyDescent="0.25">
      <c r="A103" s="2" t="s">
        <v>351</v>
      </c>
      <c r="B103" s="2" t="s">
        <v>355</v>
      </c>
      <c r="C103" s="2" t="s">
        <v>358</v>
      </c>
      <c r="D103" s="3">
        <v>6</v>
      </c>
    </row>
    <row r="104" spans="1:4" x14ac:dyDescent="0.25">
      <c r="A104" s="2" t="s">
        <v>351</v>
      </c>
      <c r="B104" s="2" t="s">
        <v>355</v>
      </c>
      <c r="C104" s="2" t="s">
        <v>359</v>
      </c>
      <c r="D104" s="3">
        <v>5</v>
      </c>
    </row>
    <row r="105" spans="1:4" ht="30" x14ac:dyDescent="0.25">
      <c r="A105" s="2" t="s">
        <v>351</v>
      </c>
      <c r="B105" s="2" t="s">
        <v>355</v>
      </c>
      <c r="C105" s="2" t="s">
        <v>360</v>
      </c>
      <c r="D105" s="3">
        <v>5</v>
      </c>
    </row>
    <row r="106" spans="1:4" ht="30" x14ac:dyDescent="0.25">
      <c r="A106" s="2" t="s">
        <v>351</v>
      </c>
      <c r="B106" s="2" t="s">
        <v>361</v>
      </c>
      <c r="C106" s="2" t="s">
        <v>362</v>
      </c>
      <c r="D106" s="3">
        <v>7</v>
      </c>
    </row>
    <row r="107" spans="1:4" x14ac:dyDescent="0.25">
      <c r="A107" s="2" t="s">
        <v>351</v>
      </c>
      <c r="B107" s="2" t="s">
        <v>361</v>
      </c>
      <c r="C107" s="2" t="s">
        <v>363</v>
      </c>
      <c r="D107" s="3">
        <v>5</v>
      </c>
    </row>
    <row r="108" spans="1:4" ht="30" x14ac:dyDescent="0.25">
      <c r="A108" s="2" t="s">
        <v>351</v>
      </c>
      <c r="B108" s="2" t="s">
        <v>361</v>
      </c>
      <c r="C108" s="2" t="s">
        <v>364</v>
      </c>
      <c r="D108" s="3">
        <v>6</v>
      </c>
    </row>
    <row r="109" spans="1:4" x14ac:dyDescent="0.25">
      <c r="A109" s="2" t="s">
        <v>351</v>
      </c>
      <c r="B109" s="2" t="s">
        <v>361</v>
      </c>
      <c r="C109" s="2" t="s">
        <v>365</v>
      </c>
      <c r="D109" s="3">
        <v>5</v>
      </c>
    </row>
    <row r="110" spans="1:4" ht="30" x14ac:dyDescent="0.25">
      <c r="A110" s="2" t="s">
        <v>351</v>
      </c>
      <c r="B110" s="2" t="s">
        <v>366</v>
      </c>
      <c r="C110" s="2" t="s">
        <v>367</v>
      </c>
      <c r="D110" s="3">
        <v>5</v>
      </c>
    </row>
    <row r="111" spans="1:4" x14ac:dyDescent="0.25">
      <c r="A111" s="2" t="s">
        <v>351</v>
      </c>
      <c r="B111" s="2" t="s">
        <v>366</v>
      </c>
      <c r="C111" s="2" t="s">
        <v>368</v>
      </c>
      <c r="D111" s="3">
        <v>4</v>
      </c>
    </row>
    <row r="112" spans="1:4" x14ac:dyDescent="0.25">
      <c r="A112" s="2" t="s">
        <v>351</v>
      </c>
      <c r="B112" s="2" t="s">
        <v>366</v>
      </c>
      <c r="C112" s="2" t="s">
        <v>369</v>
      </c>
      <c r="D112" s="3">
        <v>5</v>
      </c>
    </row>
    <row r="113" spans="1:4" ht="30" x14ac:dyDescent="0.25">
      <c r="A113" s="2" t="s">
        <v>351</v>
      </c>
      <c r="B113" s="2" t="s">
        <v>366</v>
      </c>
      <c r="C113" s="2" t="s">
        <v>370</v>
      </c>
      <c r="D113" s="3">
        <v>9</v>
      </c>
    </row>
    <row r="114" spans="1:4" x14ac:dyDescent="0.25">
      <c r="A114" s="2" t="s">
        <v>371</v>
      </c>
      <c r="B114" s="2" t="s">
        <v>372</v>
      </c>
      <c r="C114" s="2" t="s">
        <v>373</v>
      </c>
      <c r="D114" s="3">
        <v>4</v>
      </c>
    </row>
    <row r="115" spans="1:4" x14ac:dyDescent="0.25">
      <c r="A115" s="2" t="s">
        <v>371</v>
      </c>
      <c r="B115" s="2" t="s">
        <v>372</v>
      </c>
      <c r="C115" s="2" t="s">
        <v>374</v>
      </c>
      <c r="D115" s="3">
        <v>5</v>
      </c>
    </row>
    <row r="116" spans="1:4" x14ac:dyDescent="0.25">
      <c r="A116" s="2" t="s">
        <v>371</v>
      </c>
      <c r="B116" s="2" t="s">
        <v>372</v>
      </c>
      <c r="C116" s="2" t="s">
        <v>375</v>
      </c>
      <c r="D116" s="3">
        <v>5</v>
      </c>
    </row>
    <row r="117" spans="1:4" x14ac:dyDescent="0.25">
      <c r="A117" s="2" t="s">
        <v>371</v>
      </c>
      <c r="B117" s="2" t="s">
        <v>376</v>
      </c>
      <c r="C117" s="2" t="s">
        <v>377</v>
      </c>
      <c r="D117" s="3">
        <v>7</v>
      </c>
    </row>
    <row r="118" spans="1:4" x14ac:dyDescent="0.25">
      <c r="A118" s="2" t="s">
        <v>371</v>
      </c>
      <c r="B118" s="2" t="s">
        <v>376</v>
      </c>
      <c r="C118" s="2" t="s">
        <v>378</v>
      </c>
      <c r="D118" s="3">
        <v>5</v>
      </c>
    </row>
    <row r="119" spans="1:4" ht="30" x14ac:dyDescent="0.25">
      <c r="A119" s="2" t="s">
        <v>371</v>
      </c>
      <c r="B119" s="2" t="s">
        <v>376</v>
      </c>
      <c r="C119" s="2" t="s">
        <v>379</v>
      </c>
      <c r="D119" s="3">
        <v>6</v>
      </c>
    </row>
    <row r="120" spans="1:4" x14ac:dyDescent="0.25">
      <c r="A120" s="2" t="s">
        <v>371</v>
      </c>
      <c r="B120" s="2" t="s">
        <v>380</v>
      </c>
      <c r="C120" s="2" t="s">
        <v>381</v>
      </c>
      <c r="D120" s="3">
        <v>5</v>
      </c>
    </row>
    <row r="121" spans="1:4" x14ac:dyDescent="0.25">
      <c r="A121" s="2" t="s">
        <v>371</v>
      </c>
      <c r="B121" s="2" t="s">
        <v>380</v>
      </c>
      <c r="C121" s="2" t="s">
        <v>382</v>
      </c>
      <c r="D121" s="3">
        <v>5</v>
      </c>
    </row>
    <row r="122" spans="1:4" ht="30" x14ac:dyDescent="0.25">
      <c r="A122" s="2" t="s">
        <v>371</v>
      </c>
      <c r="B122" s="2" t="s">
        <v>380</v>
      </c>
      <c r="C122" s="2" t="s">
        <v>383</v>
      </c>
      <c r="D122" s="3">
        <v>4</v>
      </c>
    </row>
    <row r="123" spans="1:4" x14ac:dyDescent="0.25">
      <c r="A123" s="2" t="s">
        <v>371</v>
      </c>
      <c r="B123" s="2" t="s">
        <v>380</v>
      </c>
      <c r="C123" s="2" t="s">
        <v>384</v>
      </c>
      <c r="D123" s="3">
        <v>4</v>
      </c>
    </row>
    <row r="124" spans="1:4" x14ac:dyDescent="0.25">
      <c r="A124" s="2" t="s">
        <v>371</v>
      </c>
      <c r="B124" s="2" t="s">
        <v>380</v>
      </c>
      <c r="C124" s="2" t="s">
        <v>385</v>
      </c>
      <c r="D124" s="3">
        <v>4</v>
      </c>
    </row>
    <row r="125" spans="1:4" ht="30" x14ac:dyDescent="0.25">
      <c r="A125" s="2" t="s">
        <v>371</v>
      </c>
      <c r="B125" s="2" t="s">
        <v>380</v>
      </c>
      <c r="C125" s="2" t="s">
        <v>386</v>
      </c>
      <c r="D125" s="3">
        <v>4</v>
      </c>
    </row>
    <row r="126" spans="1:4" ht="30" x14ac:dyDescent="0.25">
      <c r="A126" s="2" t="s">
        <v>371</v>
      </c>
      <c r="B126" s="2" t="s">
        <v>387</v>
      </c>
      <c r="C126" s="2" t="s">
        <v>388</v>
      </c>
      <c r="D126" s="3">
        <v>10</v>
      </c>
    </row>
    <row r="127" spans="1:4" ht="30" x14ac:dyDescent="0.25">
      <c r="A127" s="2" t="s">
        <v>371</v>
      </c>
      <c r="B127" s="2" t="s">
        <v>387</v>
      </c>
      <c r="C127" s="2" t="s">
        <v>389</v>
      </c>
      <c r="D127" s="3">
        <v>9</v>
      </c>
    </row>
    <row r="128" spans="1:4" ht="30" x14ac:dyDescent="0.25">
      <c r="A128" s="2" t="s">
        <v>371</v>
      </c>
      <c r="B128" s="2" t="s">
        <v>387</v>
      </c>
      <c r="C128" s="2" t="s">
        <v>390</v>
      </c>
      <c r="D128" s="3">
        <v>7</v>
      </c>
    </row>
    <row r="129" spans="1:4" x14ac:dyDescent="0.25">
      <c r="A129" s="2" t="s">
        <v>371</v>
      </c>
      <c r="B129" s="2" t="s">
        <v>391</v>
      </c>
      <c r="C129" s="2" t="s">
        <v>392</v>
      </c>
      <c r="D129" s="3">
        <v>6</v>
      </c>
    </row>
    <row r="130" spans="1:4" x14ac:dyDescent="0.25">
      <c r="A130" s="2" t="s">
        <v>371</v>
      </c>
      <c r="B130" s="2" t="s">
        <v>391</v>
      </c>
      <c r="C130" s="2" t="s">
        <v>393</v>
      </c>
      <c r="D130" s="3">
        <v>5</v>
      </c>
    </row>
    <row r="131" spans="1:4" ht="30" x14ac:dyDescent="0.25">
      <c r="A131" s="2" t="s">
        <v>371</v>
      </c>
      <c r="B131" s="2" t="s">
        <v>391</v>
      </c>
      <c r="C131" s="2" t="s">
        <v>394</v>
      </c>
      <c r="D131" s="3">
        <v>7</v>
      </c>
    </row>
    <row r="132" spans="1:4" ht="30" x14ac:dyDescent="0.25">
      <c r="A132" s="2" t="s">
        <v>371</v>
      </c>
      <c r="B132" s="2" t="s">
        <v>395</v>
      </c>
      <c r="C132" s="2" t="s">
        <v>396</v>
      </c>
      <c r="D132" s="3">
        <v>6</v>
      </c>
    </row>
    <row r="133" spans="1:4" ht="30" x14ac:dyDescent="0.25">
      <c r="A133" s="2" t="s">
        <v>371</v>
      </c>
      <c r="B133" s="2" t="s">
        <v>395</v>
      </c>
      <c r="C133" s="2" t="s">
        <v>397</v>
      </c>
      <c r="D133" s="3">
        <v>5</v>
      </c>
    </row>
    <row r="134" spans="1:4" ht="30" x14ac:dyDescent="0.25">
      <c r="A134" s="2" t="s">
        <v>371</v>
      </c>
      <c r="B134" s="2" t="s">
        <v>395</v>
      </c>
      <c r="C134" s="2" t="s">
        <v>398</v>
      </c>
      <c r="D134" s="3">
        <v>6</v>
      </c>
    </row>
    <row r="135" spans="1:4" ht="30" x14ac:dyDescent="0.25">
      <c r="A135" s="2" t="s">
        <v>371</v>
      </c>
      <c r="B135" s="2" t="s">
        <v>395</v>
      </c>
      <c r="C135" s="2" t="s">
        <v>399</v>
      </c>
      <c r="D135" s="3">
        <v>6</v>
      </c>
    </row>
    <row r="136" spans="1:4" x14ac:dyDescent="0.25">
      <c r="C136" s="8" t="s">
        <v>400</v>
      </c>
      <c r="D136" s="14">
        <f>SUM(D3:D135)</f>
        <v>682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6"/>
  <sheetViews>
    <sheetView workbookViewId="0"/>
  </sheetViews>
  <sheetFormatPr baseColWidth="10" defaultColWidth="9.140625" defaultRowHeight="15" x14ac:dyDescent="0.25"/>
  <cols>
    <col min="1" max="1" width="10" customWidth="1"/>
    <col min="2" max="2" width="16" customWidth="1"/>
    <col min="3" max="3" width="70" customWidth="1"/>
    <col min="4" max="4" width="16" customWidth="1"/>
  </cols>
  <sheetData>
    <row r="1" spans="1:4" x14ac:dyDescent="0.25">
      <c r="A1" s="15" t="s">
        <v>401</v>
      </c>
      <c r="B1" s="16"/>
      <c r="C1" s="16"/>
      <c r="D1" s="17"/>
    </row>
    <row r="2" spans="1:4" ht="30" x14ac:dyDescent="0.25">
      <c r="A2" s="1" t="s">
        <v>227</v>
      </c>
      <c r="B2" s="1" t="s">
        <v>228</v>
      </c>
      <c r="C2" s="1" t="s">
        <v>229</v>
      </c>
      <c r="D2" s="1" t="s">
        <v>230</v>
      </c>
    </row>
    <row r="3" spans="1:4" x14ac:dyDescent="0.25">
      <c r="A3" s="2" t="s">
        <v>231</v>
      </c>
      <c r="B3" s="2" t="s">
        <v>232</v>
      </c>
      <c r="C3" s="2" t="s">
        <v>233</v>
      </c>
      <c r="D3" s="3">
        <v>5</v>
      </c>
    </row>
    <row r="4" spans="1:4" x14ac:dyDescent="0.25">
      <c r="A4" s="2" t="s">
        <v>231</v>
      </c>
      <c r="B4" s="2" t="s">
        <v>232</v>
      </c>
      <c r="C4" s="2" t="s">
        <v>234</v>
      </c>
      <c r="D4" s="3">
        <v>6</v>
      </c>
    </row>
    <row r="5" spans="1:4" x14ac:dyDescent="0.25">
      <c r="A5" s="2" t="s">
        <v>231</v>
      </c>
      <c r="B5" s="2" t="s">
        <v>232</v>
      </c>
      <c r="C5" s="2" t="s">
        <v>235</v>
      </c>
      <c r="D5" s="3">
        <v>6</v>
      </c>
    </row>
    <row r="6" spans="1:4" x14ac:dyDescent="0.25">
      <c r="A6" s="2" t="s">
        <v>231</v>
      </c>
      <c r="B6" s="2" t="s">
        <v>232</v>
      </c>
      <c r="C6" s="2" t="s">
        <v>236</v>
      </c>
      <c r="D6" s="3">
        <v>5</v>
      </c>
    </row>
    <row r="7" spans="1:4" x14ac:dyDescent="0.25">
      <c r="A7" s="2" t="s">
        <v>231</v>
      </c>
      <c r="B7" s="2" t="s">
        <v>232</v>
      </c>
      <c r="C7" s="2" t="s">
        <v>237</v>
      </c>
      <c r="D7" s="3">
        <v>6</v>
      </c>
    </row>
    <row r="8" spans="1:4" x14ac:dyDescent="0.25">
      <c r="A8" s="2" t="s">
        <v>231</v>
      </c>
      <c r="B8" s="2" t="s">
        <v>232</v>
      </c>
      <c r="C8" s="2" t="s">
        <v>238</v>
      </c>
      <c r="D8" s="3">
        <v>5</v>
      </c>
    </row>
    <row r="9" spans="1:4" x14ac:dyDescent="0.25">
      <c r="A9" s="2" t="s">
        <v>231</v>
      </c>
      <c r="B9" s="2" t="s">
        <v>239</v>
      </c>
      <c r="C9" s="2" t="s">
        <v>240</v>
      </c>
      <c r="D9" s="3">
        <v>5</v>
      </c>
    </row>
    <row r="10" spans="1:4" x14ac:dyDescent="0.25">
      <c r="A10" s="2" t="s">
        <v>231</v>
      </c>
      <c r="B10" s="2" t="s">
        <v>239</v>
      </c>
      <c r="C10" s="2" t="s">
        <v>241</v>
      </c>
      <c r="D10" s="3">
        <v>6</v>
      </c>
    </row>
    <row r="11" spans="1:4" x14ac:dyDescent="0.25">
      <c r="A11" s="2" t="s">
        <v>231</v>
      </c>
      <c r="B11" s="2" t="s">
        <v>239</v>
      </c>
      <c r="C11" s="2" t="s">
        <v>242</v>
      </c>
      <c r="D11" s="3">
        <v>5</v>
      </c>
    </row>
    <row r="12" spans="1:4" x14ac:dyDescent="0.25">
      <c r="A12" s="2" t="s">
        <v>231</v>
      </c>
      <c r="B12" s="2" t="s">
        <v>239</v>
      </c>
      <c r="C12" s="2" t="s">
        <v>243</v>
      </c>
      <c r="D12" s="3">
        <v>5</v>
      </c>
    </row>
    <row r="13" spans="1:4" x14ac:dyDescent="0.25">
      <c r="A13" s="2" t="s">
        <v>231</v>
      </c>
      <c r="B13" s="2" t="s">
        <v>239</v>
      </c>
      <c r="C13" s="2" t="s">
        <v>244</v>
      </c>
      <c r="D13" s="3">
        <v>6</v>
      </c>
    </row>
    <row r="14" spans="1:4" x14ac:dyDescent="0.25">
      <c r="A14" s="2" t="s">
        <v>231</v>
      </c>
      <c r="B14" s="2" t="s">
        <v>245</v>
      </c>
      <c r="C14" s="2" t="s">
        <v>246</v>
      </c>
      <c r="D14" s="3">
        <v>5</v>
      </c>
    </row>
    <row r="15" spans="1:4" x14ac:dyDescent="0.25">
      <c r="A15" s="2" t="s">
        <v>231</v>
      </c>
      <c r="B15" s="2" t="s">
        <v>245</v>
      </c>
      <c r="C15" s="2" t="s">
        <v>247</v>
      </c>
      <c r="D15" s="3">
        <v>6</v>
      </c>
    </row>
    <row r="16" spans="1:4" x14ac:dyDescent="0.25">
      <c r="A16" s="2" t="s">
        <v>231</v>
      </c>
      <c r="B16" s="2" t="s">
        <v>245</v>
      </c>
      <c r="C16" s="2" t="s">
        <v>248</v>
      </c>
      <c r="D16" s="3">
        <v>5</v>
      </c>
    </row>
    <row r="17" spans="1:4" x14ac:dyDescent="0.25">
      <c r="A17" s="2" t="s">
        <v>231</v>
      </c>
      <c r="B17" s="2" t="s">
        <v>245</v>
      </c>
      <c r="C17" s="2" t="s">
        <v>249</v>
      </c>
      <c r="D17" s="3">
        <v>6</v>
      </c>
    </row>
    <row r="18" spans="1:4" x14ac:dyDescent="0.25">
      <c r="A18" s="2" t="s">
        <v>231</v>
      </c>
      <c r="B18" s="2" t="s">
        <v>245</v>
      </c>
      <c r="C18" s="2" t="s">
        <v>250</v>
      </c>
      <c r="D18" s="3">
        <v>6</v>
      </c>
    </row>
    <row r="19" spans="1:4" x14ac:dyDescent="0.25">
      <c r="A19" s="2" t="s">
        <v>231</v>
      </c>
      <c r="B19" s="2" t="s">
        <v>245</v>
      </c>
      <c r="C19" s="2" t="s">
        <v>251</v>
      </c>
      <c r="D19" s="3">
        <v>6</v>
      </c>
    </row>
    <row r="20" spans="1:4" x14ac:dyDescent="0.25">
      <c r="A20" s="2" t="s">
        <v>231</v>
      </c>
      <c r="B20" s="2" t="s">
        <v>252</v>
      </c>
      <c r="C20" s="2" t="s">
        <v>253</v>
      </c>
      <c r="D20" s="3">
        <v>5</v>
      </c>
    </row>
    <row r="21" spans="1:4" x14ac:dyDescent="0.25">
      <c r="A21" s="2" t="s">
        <v>231</v>
      </c>
      <c r="B21" s="2" t="s">
        <v>252</v>
      </c>
      <c r="C21" s="2" t="s">
        <v>254</v>
      </c>
      <c r="D21" s="3">
        <v>6</v>
      </c>
    </row>
    <row r="22" spans="1:4" x14ac:dyDescent="0.25">
      <c r="A22" s="2" t="s">
        <v>231</v>
      </c>
      <c r="B22" s="2" t="s">
        <v>252</v>
      </c>
      <c r="C22" s="2" t="s">
        <v>255</v>
      </c>
      <c r="D22" s="3">
        <v>5</v>
      </c>
    </row>
    <row r="23" spans="1:4" x14ac:dyDescent="0.25">
      <c r="A23" s="2" t="s">
        <v>231</v>
      </c>
      <c r="B23" s="2" t="s">
        <v>256</v>
      </c>
      <c r="C23" s="2" t="s">
        <v>257</v>
      </c>
      <c r="D23" s="3">
        <v>5</v>
      </c>
    </row>
    <row r="24" spans="1:4" x14ac:dyDescent="0.25">
      <c r="A24" s="2" t="s">
        <v>231</v>
      </c>
      <c r="B24" s="2" t="s">
        <v>256</v>
      </c>
      <c r="C24" s="2" t="s">
        <v>258</v>
      </c>
      <c r="D24" s="3">
        <v>5</v>
      </c>
    </row>
    <row r="25" spans="1:4" x14ac:dyDescent="0.25">
      <c r="A25" s="2" t="s">
        <v>231</v>
      </c>
      <c r="B25" s="2" t="s">
        <v>256</v>
      </c>
      <c r="C25" s="2" t="s">
        <v>259</v>
      </c>
      <c r="D25" s="3">
        <v>5</v>
      </c>
    </row>
    <row r="26" spans="1:4" x14ac:dyDescent="0.25">
      <c r="A26" s="2" t="s">
        <v>231</v>
      </c>
      <c r="B26" s="2" t="s">
        <v>260</v>
      </c>
      <c r="C26" s="2" t="s">
        <v>261</v>
      </c>
      <c r="D26" s="3">
        <v>6</v>
      </c>
    </row>
    <row r="27" spans="1:4" x14ac:dyDescent="0.25">
      <c r="A27" s="2" t="s">
        <v>231</v>
      </c>
      <c r="B27" s="2" t="s">
        <v>260</v>
      </c>
      <c r="C27" s="2" t="s">
        <v>262</v>
      </c>
      <c r="D27" s="3">
        <v>6</v>
      </c>
    </row>
    <row r="28" spans="1:4" x14ac:dyDescent="0.25">
      <c r="A28" s="2" t="s">
        <v>231</v>
      </c>
      <c r="B28" s="2" t="s">
        <v>260</v>
      </c>
      <c r="C28" s="2" t="s">
        <v>263</v>
      </c>
      <c r="D28" s="3">
        <v>6</v>
      </c>
    </row>
    <row r="29" spans="1:4" x14ac:dyDescent="0.25">
      <c r="A29" s="2" t="s">
        <v>231</v>
      </c>
      <c r="B29" s="2" t="s">
        <v>260</v>
      </c>
      <c r="C29" s="2" t="s">
        <v>264</v>
      </c>
      <c r="D29" s="3">
        <v>6</v>
      </c>
    </row>
    <row r="30" spans="1:4" x14ac:dyDescent="0.25">
      <c r="A30" s="2" t="s">
        <v>231</v>
      </c>
      <c r="B30" s="2" t="s">
        <v>260</v>
      </c>
      <c r="C30" s="2" t="s">
        <v>265</v>
      </c>
      <c r="D30" s="3">
        <v>5</v>
      </c>
    </row>
    <row r="31" spans="1:4" x14ac:dyDescent="0.25">
      <c r="A31" s="2" t="s">
        <v>266</v>
      </c>
      <c r="B31" s="2" t="s">
        <v>267</v>
      </c>
      <c r="C31" s="2" t="s">
        <v>268</v>
      </c>
      <c r="D31" s="3">
        <v>5</v>
      </c>
    </row>
    <row r="32" spans="1:4" x14ac:dyDescent="0.25">
      <c r="A32" s="2" t="s">
        <v>266</v>
      </c>
      <c r="B32" s="2" t="s">
        <v>267</v>
      </c>
      <c r="C32" s="2" t="s">
        <v>269</v>
      </c>
      <c r="D32" s="3">
        <v>5</v>
      </c>
    </row>
    <row r="33" spans="1:4" x14ac:dyDescent="0.25">
      <c r="A33" s="2" t="s">
        <v>266</v>
      </c>
      <c r="B33" s="2" t="s">
        <v>267</v>
      </c>
      <c r="C33" s="2" t="s">
        <v>270</v>
      </c>
      <c r="D33" s="3">
        <v>6</v>
      </c>
    </row>
    <row r="34" spans="1:4" x14ac:dyDescent="0.25">
      <c r="A34" s="2" t="s">
        <v>266</v>
      </c>
      <c r="B34" s="2" t="s">
        <v>267</v>
      </c>
      <c r="C34" s="2" t="s">
        <v>271</v>
      </c>
      <c r="D34" s="3">
        <v>6</v>
      </c>
    </row>
    <row r="35" spans="1:4" x14ac:dyDescent="0.25">
      <c r="A35" s="2" t="s">
        <v>266</v>
      </c>
      <c r="B35" s="2" t="s">
        <v>267</v>
      </c>
      <c r="C35" s="2" t="s">
        <v>272</v>
      </c>
      <c r="D35" s="3">
        <v>6</v>
      </c>
    </row>
    <row r="36" spans="1:4" x14ac:dyDescent="0.25">
      <c r="A36" s="2" t="s">
        <v>266</v>
      </c>
      <c r="B36" s="2" t="s">
        <v>267</v>
      </c>
      <c r="C36" s="2" t="s">
        <v>273</v>
      </c>
      <c r="D36" s="3">
        <v>6</v>
      </c>
    </row>
    <row r="37" spans="1:4" x14ac:dyDescent="0.25">
      <c r="A37" s="2" t="s">
        <v>266</v>
      </c>
      <c r="B37" s="2" t="s">
        <v>274</v>
      </c>
      <c r="C37" s="2" t="s">
        <v>275</v>
      </c>
      <c r="D37" s="3">
        <v>6</v>
      </c>
    </row>
    <row r="38" spans="1:4" x14ac:dyDescent="0.25">
      <c r="A38" s="2" t="s">
        <v>266</v>
      </c>
      <c r="B38" s="2" t="s">
        <v>274</v>
      </c>
      <c r="C38" s="2" t="s">
        <v>276</v>
      </c>
      <c r="D38" s="3">
        <v>6</v>
      </c>
    </row>
    <row r="39" spans="1:4" x14ac:dyDescent="0.25">
      <c r="A39" s="2" t="s">
        <v>266</v>
      </c>
      <c r="B39" s="2" t="s">
        <v>274</v>
      </c>
      <c r="C39" s="2" t="s">
        <v>277</v>
      </c>
      <c r="D39" s="3">
        <v>6</v>
      </c>
    </row>
    <row r="40" spans="1:4" x14ac:dyDescent="0.25">
      <c r="A40" s="2" t="s">
        <v>266</v>
      </c>
      <c r="B40" s="2" t="s">
        <v>274</v>
      </c>
      <c r="C40" s="2" t="s">
        <v>278</v>
      </c>
      <c r="D40" s="3">
        <v>7</v>
      </c>
    </row>
    <row r="41" spans="1:4" x14ac:dyDescent="0.25">
      <c r="A41" s="2" t="s">
        <v>266</v>
      </c>
      <c r="B41" s="2" t="s">
        <v>279</v>
      </c>
      <c r="C41" s="2" t="s">
        <v>280</v>
      </c>
      <c r="D41" s="3">
        <v>6</v>
      </c>
    </row>
    <row r="42" spans="1:4" x14ac:dyDescent="0.25">
      <c r="A42" s="2" t="s">
        <v>266</v>
      </c>
      <c r="B42" s="2" t="s">
        <v>279</v>
      </c>
      <c r="C42" s="2" t="s">
        <v>281</v>
      </c>
      <c r="D42" s="3">
        <v>5</v>
      </c>
    </row>
    <row r="43" spans="1:4" x14ac:dyDescent="0.25">
      <c r="A43" s="2" t="s">
        <v>266</v>
      </c>
      <c r="B43" s="2" t="s">
        <v>279</v>
      </c>
      <c r="C43" s="2" t="s">
        <v>282</v>
      </c>
      <c r="D43" s="3">
        <v>5</v>
      </c>
    </row>
    <row r="44" spans="1:4" x14ac:dyDescent="0.25">
      <c r="A44" s="2" t="s">
        <v>266</v>
      </c>
      <c r="B44" s="2" t="s">
        <v>279</v>
      </c>
      <c r="C44" s="2" t="s">
        <v>283</v>
      </c>
      <c r="D44" s="3">
        <v>6</v>
      </c>
    </row>
    <row r="45" spans="1:4" x14ac:dyDescent="0.25">
      <c r="A45" s="2" t="s">
        <v>266</v>
      </c>
      <c r="B45" s="2" t="s">
        <v>284</v>
      </c>
      <c r="C45" s="2" t="s">
        <v>285</v>
      </c>
      <c r="D45" s="3">
        <v>5</v>
      </c>
    </row>
    <row r="46" spans="1:4" x14ac:dyDescent="0.25">
      <c r="A46" s="2" t="s">
        <v>266</v>
      </c>
      <c r="B46" s="2" t="s">
        <v>284</v>
      </c>
      <c r="C46" s="2" t="s">
        <v>286</v>
      </c>
      <c r="D46" s="3">
        <v>6</v>
      </c>
    </row>
    <row r="47" spans="1:4" x14ac:dyDescent="0.25">
      <c r="A47" s="2" t="s">
        <v>266</v>
      </c>
      <c r="B47" s="2" t="s">
        <v>284</v>
      </c>
      <c r="C47" s="2" t="s">
        <v>287</v>
      </c>
      <c r="D47" s="3">
        <v>6</v>
      </c>
    </row>
    <row r="48" spans="1:4" x14ac:dyDescent="0.25">
      <c r="A48" s="2" t="s">
        <v>266</v>
      </c>
      <c r="B48" s="2" t="s">
        <v>284</v>
      </c>
      <c r="C48" s="2" t="s">
        <v>288</v>
      </c>
      <c r="D48" s="3">
        <v>7</v>
      </c>
    </row>
    <row r="49" spans="1:4" x14ac:dyDescent="0.25">
      <c r="A49" s="2" t="s">
        <v>266</v>
      </c>
      <c r="B49" s="2" t="s">
        <v>284</v>
      </c>
      <c r="C49" s="2" t="s">
        <v>289</v>
      </c>
      <c r="D49" s="3">
        <v>5</v>
      </c>
    </row>
    <row r="50" spans="1:4" x14ac:dyDescent="0.25">
      <c r="A50" s="2" t="s">
        <v>266</v>
      </c>
      <c r="B50" s="2" t="s">
        <v>284</v>
      </c>
      <c r="C50" s="2" t="s">
        <v>290</v>
      </c>
      <c r="D50" s="3">
        <v>7</v>
      </c>
    </row>
    <row r="51" spans="1:4" x14ac:dyDescent="0.25">
      <c r="A51" s="2" t="s">
        <v>266</v>
      </c>
      <c r="B51" s="2" t="s">
        <v>291</v>
      </c>
      <c r="C51" s="2" t="s">
        <v>292</v>
      </c>
      <c r="D51" s="3">
        <v>6</v>
      </c>
    </row>
    <row r="52" spans="1:4" x14ac:dyDescent="0.25">
      <c r="A52" s="2" t="s">
        <v>266</v>
      </c>
      <c r="B52" s="2" t="s">
        <v>291</v>
      </c>
      <c r="C52" s="2" t="s">
        <v>293</v>
      </c>
      <c r="D52" s="3">
        <v>6</v>
      </c>
    </row>
    <row r="53" spans="1:4" x14ac:dyDescent="0.25">
      <c r="A53" s="2" t="s">
        <v>266</v>
      </c>
      <c r="B53" s="2" t="s">
        <v>291</v>
      </c>
      <c r="C53" s="2" t="s">
        <v>294</v>
      </c>
      <c r="D53" s="3">
        <v>6</v>
      </c>
    </row>
    <row r="54" spans="1:4" x14ac:dyDescent="0.25">
      <c r="A54" s="2" t="s">
        <v>266</v>
      </c>
      <c r="B54" s="2" t="s">
        <v>291</v>
      </c>
      <c r="C54" s="2" t="s">
        <v>295</v>
      </c>
      <c r="D54" s="3">
        <v>6</v>
      </c>
    </row>
    <row r="55" spans="1:4" x14ac:dyDescent="0.25">
      <c r="A55" s="2" t="s">
        <v>266</v>
      </c>
      <c r="B55" s="2" t="s">
        <v>296</v>
      </c>
      <c r="C55" s="2" t="s">
        <v>297</v>
      </c>
      <c r="D55" s="3">
        <v>6</v>
      </c>
    </row>
    <row r="56" spans="1:4" x14ac:dyDescent="0.25">
      <c r="A56" s="2" t="s">
        <v>266</v>
      </c>
      <c r="B56" s="2" t="s">
        <v>296</v>
      </c>
      <c r="C56" s="2" t="s">
        <v>298</v>
      </c>
      <c r="D56" s="3">
        <v>5</v>
      </c>
    </row>
    <row r="57" spans="1:4" x14ac:dyDescent="0.25">
      <c r="A57" s="2" t="s">
        <v>266</v>
      </c>
      <c r="B57" s="2" t="s">
        <v>296</v>
      </c>
      <c r="C57" s="2" t="s">
        <v>299</v>
      </c>
      <c r="D57" s="3">
        <v>5</v>
      </c>
    </row>
    <row r="58" spans="1:4" x14ac:dyDescent="0.25">
      <c r="A58" s="2" t="s">
        <v>266</v>
      </c>
      <c r="B58" s="2" t="s">
        <v>296</v>
      </c>
      <c r="C58" s="2" t="s">
        <v>300</v>
      </c>
      <c r="D58" s="3">
        <v>7</v>
      </c>
    </row>
    <row r="59" spans="1:4" x14ac:dyDescent="0.25">
      <c r="A59" s="2" t="s">
        <v>301</v>
      </c>
      <c r="B59" s="2" t="s">
        <v>302</v>
      </c>
      <c r="C59" s="2" t="s">
        <v>303</v>
      </c>
      <c r="D59" s="3">
        <v>5</v>
      </c>
    </row>
    <row r="60" spans="1:4" x14ac:dyDescent="0.25">
      <c r="A60" s="2" t="s">
        <v>301</v>
      </c>
      <c r="B60" s="2" t="s">
        <v>302</v>
      </c>
      <c r="C60" s="2" t="s">
        <v>304</v>
      </c>
      <c r="D60" s="3">
        <v>6</v>
      </c>
    </row>
    <row r="61" spans="1:4" x14ac:dyDescent="0.25">
      <c r="A61" s="2" t="s">
        <v>301</v>
      </c>
      <c r="B61" s="2" t="s">
        <v>302</v>
      </c>
      <c r="C61" s="2" t="s">
        <v>305</v>
      </c>
      <c r="D61" s="3">
        <v>5</v>
      </c>
    </row>
    <row r="62" spans="1:4" x14ac:dyDescent="0.25">
      <c r="A62" s="2" t="s">
        <v>301</v>
      </c>
      <c r="B62" s="2" t="s">
        <v>302</v>
      </c>
      <c r="C62" s="2" t="s">
        <v>306</v>
      </c>
      <c r="D62" s="3">
        <v>6</v>
      </c>
    </row>
    <row r="63" spans="1:4" x14ac:dyDescent="0.25">
      <c r="A63" s="2" t="s">
        <v>301</v>
      </c>
      <c r="B63" s="2" t="s">
        <v>302</v>
      </c>
      <c r="C63" s="2" t="s">
        <v>307</v>
      </c>
      <c r="D63" s="3">
        <v>6</v>
      </c>
    </row>
    <row r="64" spans="1:4" x14ac:dyDescent="0.25">
      <c r="A64" s="2" t="s">
        <v>301</v>
      </c>
      <c r="B64" s="2" t="s">
        <v>308</v>
      </c>
      <c r="C64" s="2" t="s">
        <v>309</v>
      </c>
      <c r="D64" s="3">
        <v>5</v>
      </c>
    </row>
    <row r="65" spans="1:4" x14ac:dyDescent="0.25">
      <c r="A65" s="2" t="s">
        <v>301</v>
      </c>
      <c r="B65" s="2" t="s">
        <v>308</v>
      </c>
      <c r="C65" s="2" t="s">
        <v>310</v>
      </c>
      <c r="D65" s="3">
        <v>5</v>
      </c>
    </row>
    <row r="66" spans="1:4" x14ac:dyDescent="0.25">
      <c r="A66" s="2" t="s">
        <v>301</v>
      </c>
      <c r="B66" s="2" t="s">
        <v>308</v>
      </c>
      <c r="C66" s="2" t="s">
        <v>311</v>
      </c>
      <c r="D66" s="3">
        <v>6</v>
      </c>
    </row>
    <row r="67" spans="1:4" x14ac:dyDescent="0.25">
      <c r="A67" s="2" t="s">
        <v>301</v>
      </c>
      <c r="B67" s="2" t="s">
        <v>308</v>
      </c>
      <c r="C67" s="2" t="s">
        <v>312</v>
      </c>
      <c r="D67" s="3">
        <v>5</v>
      </c>
    </row>
    <row r="68" spans="1:4" x14ac:dyDescent="0.25">
      <c r="A68" s="2" t="s">
        <v>301</v>
      </c>
      <c r="B68" s="2" t="s">
        <v>308</v>
      </c>
      <c r="C68" s="2" t="s">
        <v>313</v>
      </c>
      <c r="D68" s="3">
        <v>6</v>
      </c>
    </row>
    <row r="69" spans="1:4" x14ac:dyDescent="0.25">
      <c r="A69" s="2" t="s">
        <v>301</v>
      </c>
      <c r="B69" s="2" t="s">
        <v>314</v>
      </c>
      <c r="C69" s="2" t="s">
        <v>315</v>
      </c>
      <c r="D69" s="3">
        <v>5</v>
      </c>
    </row>
    <row r="70" spans="1:4" x14ac:dyDescent="0.25">
      <c r="A70" s="2" t="s">
        <v>301</v>
      </c>
      <c r="B70" s="2" t="s">
        <v>314</v>
      </c>
      <c r="C70" s="2" t="s">
        <v>254</v>
      </c>
      <c r="D70" s="3">
        <v>6</v>
      </c>
    </row>
    <row r="71" spans="1:4" x14ac:dyDescent="0.25">
      <c r="A71" s="2" t="s">
        <v>301</v>
      </c>
      <c r="B71" s="2" t="s">
        <v>314</v>
      </c>
      <c r="C71" s="2" t="s">
        <v>255</v>
      </c>
      <c r="D71" s="3">
        <v>5</v>
      </c>
    </row>
    <row r="72" spans="1:4" x14ac:dyDescent="0.25">
      <c r="A72" s="2" t="s">
        <v>301</v>
      </c>
      <c r="B72" s="2" t="s">
        <v>316</v>
      </c>
      <c r="C72" s="2" t="s">
        <v>317</v>
      </c>
      <c r="D72" s="3">
        <v>5</v>
      </c>
    </row>
    <row r="73" spans="1:4" x14ac:dyDescent="0.25">
      <c r="A73" s="2" t="s">
        <v>301</v>
      </c>
      <c r="B73" s="2" t="s">
        <v>316</v>
      </c>
      <c r="C73" s="2" t="s">
        <v>318</v>
      </c>
      <c r="D73" s="3">
        <v>6</v>
      </c>
    </row>
    <row r="74" spans="1:4" x14ac:dyDescent="0.25">
      <c r="A74" s="2" t="s">
        <v>301</v>
      </c>
      <c r="B74" s="2" t="s">
        <v>316</v>
      </c>
      <c r="C74" s="2" t="s">
        <v>319</v>
      </c>
      <c r="D74" s="3">
        <v>5</v>
      </c>
    </row>
    <row r="75" spans="1:4" x14ac:dyDescent="0.25">
      <c r="A75" s="2" t="s">
        <v>301</v>
      </c>
      <c r="B75" s="2" t="s">
        <v>316</v>
      </c>
      <c r="C75" s="2" t="s">
        <v>320</v>
      </c>
      <c r="D75" s="3">
        <v>6</v>
      </c>
    </row>
    <row r="76" spans="1:4" x14ac:dyDescent="0.25">
      <c r="A76" s="2" t="s">
        <v>301</v>
      </c>
      <c r="B76" s="2" t="s">
        <v>321</v>
      </c>
      <c r="C76" s="2" t="s">
        <v>322</v>
      </c>
      <c r="D76" s="3">
        <v>5</v>
      </c>
    </row>
    <row r="77" spans="1:4" x14ac:dyDescent="0.25">
      <c r="A77" s="2" t="s">
        <v>301</v>
      </c>
      <c r="B77" s="2" t="s">
        <v>321</v>
      </c>
      <c r="C77" s="2" t="s">
        <v>323</v>
      </c>
      <c r="D77" s="3">
        <v>5</v>
      </c>
    </row>
    <row r="78" spans="1:4" x14ac:dyDescent="0.25">
      <c r="A78" s="2" t="s">
        <v>301</v>
      </c>
      <c r="B78" s="2" t="s">
        <v>321</v>
      </c>
      <c r="C78" s="2" t="s">
        <v>324</v>
      </c>
      <c r="D78" s="3">
        <v>5</v>
      </c>
    </row>
    <row r="79" spans="1:4" x14ac:dyDescent="0.25">
      <c r="A79" s="2" t="s">
        <v>301</v>
      </c>
      <c r="B79" s="2" t="s">
        <v>325</v>
      </c>
      <c r="C79" s="2" t="s">
        <v>326</v>
      </c>
      <c r="D79" s="3">
        <v>5</v>
      </c>
    </row>
    <row r="80" spans="1:4" x14ac:dyDescent="0.25">
      <c r="A80" s="2" t="s">
        <v>301</v>
      </c>
      <c r="B80" s="2" t="s">
        <v>325</v>
      </c>
      <c r="C80" s="2" t="s">
        <v>327</v>
      </c>
      <c r="D80" s="3">
        <v>5</v>
      </c>
    </row>
    <row r="81" spans="1:4" ht="30" x14ac:dyDescent="0.25">
      <c r="A81" s="2" t="s">
        <v>301</v>
      </c>
      <c r="B81" s="2" t="s">
        <v>325</v>
      </c>
      <c r="C81" s="2" t="s">
        <v>328</v>
      </c>
      <c r="D81" s="3">
        <v>6</v>
      </c>
    </row>
    <row r="82" spans="1:4" x14ac:dyDescent="0.25">
      <c r="A82" s="2" t="s">
        <v>301</v>
      </c>
      <c r="B82" s="2" t="s">
        <v>325</v>
      </c>
      <c r="C82" s="2" t="s">
        <v>329</v>
      </c>
      <c r="D82" s="3">
        <v>6</v>
      </c>
    </row>
    <row r="83" spans="1:4" x14ac:dyDescent="0.25">
      <c r="A83" s="2" t="s">
        <v>301</v>
      </c>
      <c r="B83" s="2" t="s">
        <v>325</v>
      </c>
      <c r="C83" s="2" t="s">
        <v>330</v>
      </c>
      <c r="D83" s="3">
        <v>5</v>
      </c>
    </row>
    <row r="84" spans="1:4" x14ac:dyDescent="0.25">
      <c r="A84" s="2" t="s">
        <v>301</v>
      </c>
      <c r="B84" s="2" t="s">
        <v>325</v>
      </c>
      <c r="C84" s="2" t="s">
        <v>331</v>
      </c>
      <c r="D84" s="3">
        <v>6</v>
      </c>
    </row>
    <row r="85" spans="1:4" ht="30" x14ac:dyDescent="0.25">
      <c r="A85" s="2" t="s">
        <v>301</v>
      </c>
      <c r="B85" s="2" t="s">
        <v>325</v>
      </c>
      <c r="C85" s="2" t="s">
        <v>332</v>
      </c>
      <c r="D85" s="3">
        <v>7</v>
      </c>
    </row>
    <row r="86" spans="1:4" ht="30" x14ac:dyDescent="0.25">
      <c r="A86" s="2" t="s">
        <v>301</v>
      </c>
      <c r="B86" s="2" t="s">
        <v>333</v>
      </c>
      <c r="C86" s="2" t="s">
        <v>334</v>
      </c>
      <c r="D86" s="3">
        <v>7</v>
      </c>
    </row>
    <row r="87" spans="1:4" ht="30" x14ac:dyDescent="0.25">
      <c r="A87" s="2" t="s">
        <v>301</v>
      </c>
      <c r="B87" s="2" t="s">
        <v>333</v>
      </c>
      <c r="C87" s="2" t="s">
        <v>335</v>
      </c>
      <c r="D87" s="3">
        <v>7</v>
      </c>
    </row>
    <row r="88" spans="1:4" ht="30" x14ac:dyDescent="0.25">
      <c r="A88" s="2" t="s">
        <v>301</v>
      </c>
      <c r="B88" s="2" t="s">
        <v>333</v>
      </c>
      <c r="C88" s="2" t="s">
        <v>336</v>
      </c>
      <c r="D88" s="3">
        <v>8</v>
      </c>
    </row>
    <row r="89" spans="1:4" ht="30" x14ac:dyDescent="0.25">
      <c r="A89" s="2" t="s">
        <v>337</v>
      </c>
      <c r="B89" s="2" t="s">
        <v>338</v>
      </c>
      <c r="C89" s="2" t="s">
        <v>339</v>
      </c>
      <c r="D89" s="3">
        <v>11</v>
      </c>
    </row>
    <row r="90" spans="1:4" ht="30" x14ac:dyDescent="0.25">
      <c r="A90" s="2" t="s">
        <v>337</v>
      </c>
      <c r="B90" s="2" t="s">
        <v>338</v>
      </c>
      <c r="C90" s="2" t="s">
        <v>340</v>
      </c>
      <c r="D90" s="3">
        <v>8</v>
      </c>
    </row>
    <row r="91" spans="1:4" ht="30" x14ac:dyDescent="0.25">
      <c r="A91" s="2" t="s">
        <v>337</v>
      </c>
      <c r="B91" s="2" t="s">
        <v>338</v>
      </c>
      <c r="C91" s="2" t="s">
        <v>341</v>
      </c>
      <c r="D91" s="3">
        <v>8</v>
      </c>
    </row>
    <row r="92" spans="1:4" x14ac:dyDescent="0.25">
      <c r="A92" s="2" t="s">
        <v>337</v>
      </c>
      <c r="B92" s="2" t="s">
        <v>338</v>
      </c>
      <c r="C92" s="2" t="s">
        <v>342</v>
      </c>
      <c r="D92" s="3">
        <v>5</v>
      </c>
    </row>
    <row r="93" spans="1:4" x14ac:dyDescent="0.25">
      <c r="A93" s="2" t="s">
        <v>337</v>
      </c>
      <c r="B93" s="2" t="s">
        <v>343</v>
      </c>
      <c r="C93" s="2" t="s">
        <v>344</v>
      </c>
      <c r="D93" s="3">
        <v>10</v>
      </c>
    </row>
    <row r="94" spans="1:4" ht="30" x14ac:dyDescent="0.25">
      <c r="A94" s="2" t="s">
        <v>337</v>
      </c>
      <c r="B94" s="2" t="s">
        <v>343</v>
      </c>
      <c r="C94" s="2" t="s">
        <v>345</v>
      </c>
      <c r="D94" s="3">
        <v>8</v>
      </c>
    </row>
    <row r="95" spans="1:4" x14ac:dyDescent="0.25">
      <c r="A95" s="2" t="s">
        <v>337</v>
      </c>
      <c r="B95" s="2" t="s">
        <v>343</v>
      </c>
      <c r="C95" s="2" t="s">
        <v>346</v>
      </c>
      <c r="D95" s="3">
        <v>8</v>
      </c>
    </row>
    <row r="96" spans="1:4" x14ac:dyDescent="0.25">
      <c r="A96" s="2" t="s">
        <v>337</v>
      </c>
      <c r="B96" s="2" t="s">
        <v>347</v>
      </c>
      <c r="C96" s="2" t="s">
        <v>348</v>
      </c>
      <c r="D96" s="3">
        <v>6</v>
      </c>
    </row>
    <row r="97" spans="1:4" x14ac:dyDescent="0.25">
      <c r="A97" s="2" t="s">
        <v>337</v>
      </c>
      <c r="B97" s="2" t="s">
        <v>347</v>
      </c>
      <c r="C97" s="2" t="s">
        <v>349</v>
      </c>
      <c r="D97" s="3">
        <v>7</v>
      </c>
    </row>
    <row r="98" spans="1:4" x14ac:dyDescent="0.25">
      <c r="A98" s="2" t="s">
        <v>337</v>
      </c>
      <c r="B98" s="2" t="s">
        <v>347</v>
      </c>
      <c r="C98" s="2" t="s">
        <v>350</v>
      </c>
      <c r="D98" s="3">
        <v>6</v>
      </c>
    </row>
    <row r="99" spans="1:4" x14ac:dyDescent="0.25">
      <c r="A99" s="2" t="s">
        <v>351</v>
      </c>
      <c r="B99" s="2" t="s">
        <v>352</v>
      </c>
      <c r="C99" s="2" t="s">
        <v>353</v>
      </c>
      <c r="D99" s="3">
        <v>10</v>
      </c>
    </row>
    <row r="100" spans="1:4" x14ac:dyDescent="0.25">
      <c r="A100" s="2" t="s">
        <v>351</v>
      </c>
      <c r="B100" s="2" t="s">
        <v>352</v>
      </c>
      <c r="C100" s="2" t="s">
        <v>354</v>
      </c>
      <c r="D100" s="3">
        <v>6</v>
      </c>
    </row>
    <row r="101" spans="1:4" x14ac:dyDescent="0.25">
      <c r="A101" s="2" t="s">
        <v>351</v>
      </c>
      <c r="B101" s="2" t="s">
        <v>355</v>
      </c>
      <c r="C101" s="2" t="s">
        <v>356</v>
      </c>
      <c r="D101" s="3">
        <v>6</v>
      </c>
    </row>
    <row r="102" spans="1:4" x14ac:dyDescent="0.25">
      <c r="A102" s="2" t="s">
        <v>351</v>
      </c>
      <c r="B102" s="2" t="s">
        <v>355</v>
      </c>
      <c r="C102" s="2" t="s">
        <v>357</v>
      </c>
      <c r="D102" s="3">
        <v>8</v>
      </c>
    </row>
    <row r="103" spans="1:4" x14ac:dyDescent="0.25">
      <c r="A103" s="2" t="s">
        <v>351</v>
      </c>
      <c r="B103" s="2" t="s">
        <v>355</v>
      </c>
      <c r="C103" s="2" t="s">
        <v>358</v>
      </c>
      <c r="D103" s="3">
        <v>7</v>
      </c>
    </row>
    <row r="104" spans="1:4" x14ac:dyDescent="0.25">
      <c r="A104" s="2" t="s">
        <v>351</v>
      </c>
      <c r="B104" s="2" t="s">
        <v>355</v>
      </c>
      <c r="C104" s="2" t="s">
        <v>359</v>
      </c>
      <c r="D104" s="3">
        <v>6</v>
      </c>
    </row>
    <row r="105" spans="1:4" ht="30" x14ac:dyDescent="0.25">
      <c r="A105" s="2" t="s">
        <v>351</v>
      </c>
      <c r="B105" s="2" t="s">
        <v>355</v>
      </c>
      <c r="C105" s="2" t="s">
        <v>360</v>
      </c>
      <c r="D105" s="3">
        <v>6</v>
      </c>
    </row>
    <row r="106" spans="1:4" ht="30" x14ac:dyDescent="0.25">
      <c r="A106" s="2" t="s">
        <v>351</v>
      </c>
      <c r="B106" s="2" t="s">
        <v>361</v>
      </c>
      <c r="C106" s="2" t="s">
        <v>362</v>
      </c>
      <c r="D106" s="3">
        <v>8</v>
      </c>
    </row>
    <row r="107" spans="1:4" x14ac:dyDescent="0.25">
      <c r="A107" s="2" t="s">
        <v>351</v>
      </c>
      <c r="B107" s="2" t="s">
        <v>361</v>
      </c>
      <c r="C107" s="2" t="s">
        <v>363</v>
      </c>
      <c r="D107" s="3">
        <v>6</v>
      </c>
    </row>
    <row r="108" spans="1:4" ht="30" x14ac:dyDescent="0.25">
      <c r="A108" s="2" t="s">
        <v>351</v>
      </c>
      <c r="B108" s="2" t="s">
        <v>361</v>
      </c>
      <c r="C108" s="2" t="s">
        <v>364</v>
      </c>
      <c r="D108" s="3">
        <v>7</v>
      </c>
    </row>
    <row r="109" spans="1:4" x14ac:dyDescent="0.25">
      <c r="A109" s="2" t="s">
        <v>351</v>
      </c>
      <c r="B109" s="2" t="s">
        <v>361</v>
      </c>
      <c r="C109" s="2" t="s">
        <v>365</v>
      </c>
      <c r="D109" s="3">
        <v>6</v>
      </c>
    </row>
    <row r="110" spans="1:4" ht="30" x14ac:dyDescent="0.25">
      <c r="A110" s="2" t="s">
        <v>351</v>
      </c>
      <c r="B110" s="2" t="s">
        <v>366</v>
      </c>
      <c r="C110" s="2" t="s">
        <v>367</v>
      </c>
      <c r="D110" s="3">
        <v>6</v>
      </c>
    </row>
    <row r="111" spans="1:4" x14ac:dyDescent="0.25">
      <c r="A111" s="2" t="s">
        <v>351</v>
      </c>
      <c r="B111" s="2" t="s">
        <v>366</v>
      </c>
      <c r="C111" s="2" t="s">
        <v>368</v>
      </c>
      <c r="D111" s="3">
        <v>5</v>
      </c>
    </row>
    <row r="112" spans="1:4" x14ac:dyDescent="0.25">
      <c r="A112" s="2" t="s">
        <v>351</v>
      </c>
      <c r="B112" s="2" t="s">
        <v>366</v>
      </c>
      <c r="C112" s="2" t="s">
        <v>369</v>
      </c>
      <c r="D112" s="3">
        <v>6</v>
      </c>
    </row>
    <row r="113" spans="1:4" ht="30" x14ac:dyDescent="0.25">
      <c r="A113" s="2" t="s">
        <v>351</v>
      </c>
      <c r="B113" s="2" t="s">
        <v>366</v>
      </c>
      <c r="C113" s="2" t="s">
        <v>370</v>
      </c>
      <c r="D113" s="3">
        <v>10</v>
      </c>
    </row>
    <row r="114" spans="1:4" x14ac:dyDescent="0.25">
      <c r="A114" s="2" t="s">
        <v>371</v>
      </c>
      <c r="B114" s="2" t="s">
        <v>372</v>
      </c>
      <c r="C114" s="2" t="s">
        <v>373</v>
      </c>
      <c r="D114" s="3">
        <v>5</v>
      </c>
    </row>
    <row r="115" spans="1:4" x14ac:dyDescent="0.25">
      <c r="A115" s="2" t="s">
        <v>371</v>
      </c>
      <c r="B115" s="2" t="s">
        <v>372</v>
      </c>
      <c r="C115" s="2" t="s">
        <v>374</v>
      </c>
      <c r="D115" s="3">
        <v>6</v>
      </c>
    </row>
    <row r="116" spans="1:4" x14ac:dyDescent="0.25">
      <c r="A116" s="2" t="s">
        <v>371</v>
      </c>
      <c r="B116" s="2" t="s">
        <v>372</v>
      </c>
      <c r="C116" s="2" t="s">
        <v>375</v>
      </c>
      <c r="D116" s="3">
        <v>6</v>
      </c>
    </row>
    <row r="117" spans="1:4" x14ac:dyDescent="0.25">
      <c r="A117" s="2" t="s">
        <v>371</v>
      </c>
      <c r="B117" s="2" t="s">
        <v>376</v>
      </c>
      <c r="C117" s="2" t="s">
        <v>377</v>
      </c>
      <c r="D117" s="3">
        <v>8</v>
      </c>
    </row>
    <row r="118" spans="1:4" x14ac:dyDescent="0.25">
      <c r="A118" s="2" t="s">
        <v>371</v>
      </c>
      <c r="B118" s="2" t="s">
        <v>376</v>
      </c>
      <c r="C118" s="2" t="s">
        <v>378</v>
      </c>
      <c r="D118" s="3">
        <v>6</v>
      </c>
    </row>
    <row r="119" spans="1:4" ht="30" x14ac:dyDescent="0.25">
      <c r="A119" s="2" t="s">
        <v>371</v>
      </c>
      <c r="B119" s="2" t="s">
        <v>376</v>
      </c>
      <c r="C119" s="2" t="s">
        <v>379</v>
      </c>
      <c r="D119" s="3">
        <v>7</v>
      </c>
    </row>
    <row r="120" spans="1:4" x14ac:dyDescent="0.25">
      <c r="A120" s="2" t="s">
        <v>371</v>
      </c>
      <c r="B120" s="2" t="s">
        <v>380</v>
      </c>
      <c r="C120" s="2" t="s">
        <v>381</v>
      </c>
      <c r="D120" s="3">
        <v>6</v>
      </c>
    </row>
    <row r="121" spans="1:4" x14ac:dyDescent="0.25">
      <c r="A121" s="2" t="s">
        <v>371</v>
      </c>
      <c r="B121" s="2" t="s">
        <v>380</v>
      </c>
      <c r="C121" s="2" t="s">
        <v>382</v>
      </c>
      <c r="D121" s="3">
        <v>6</v>
      </c>
    </row>
    <row r="122" spans="1:4" ht="30" x14ac:dyDescent="0.25">
      <c r="A122" s="2" t="s">
        <v>371</v>
      </c>
      <c r="B122" s="2" t="s">
        <v>380</v>
      </c>
      <c r="C122" s="2" t="s">
        <v>383</v>
      </c>
      <c r="D122" s="3">
        <v>5</v>
      </c>
    </row>
    <row r="123" spans="1:4" x14ac:dyDescent="0.25">
      <c r="A123" s="2" t="s">
        <v>371</v>
      </c>
      <c r="B123" s="2" t="s">
        <v>380</v>
      </c>
      <c r="C123" s="2" t="s">
        <v>384</v>
      </c>
      <c r="D123" s="3">
        <v>5</v>
      </c>
    </row>
    <row r="124" spans="1:4" x14ac:dyDescent="0.25">
      <c r="A124" s="2" t="s">
        <v>371</v>
      </c>
      <c r="B124" s="2" t="s">
        <v>380</v>
      </c>
      <c r="C124" s="2" t="s">
        <v>385</v>
      </c>
      <c r="D124" s="3">
        <v>5</v>
      </c>
    </row>
    <row r="125" spans="1:4" ht="30" x14ac:dyDescent="0.25">
      <c r="A125" s="2" t="s">
        <v>371</v>
      </c>
      <c r="B125" s="2" t="s">
        <v>380</v>
      </c>
      <c r="C125" s="2" t="s">
        <v>386</v>
      </c>
      <c r="D125" s="3">
        <v>5</v>
      </c>
    </row>
    <row r="126" spans="1:4" ht="30" x14ac:dyDescent="0.25">
      <c r="A126" s="2" t="s">
        <v>371</v>
      </c>
      <c r="B126" s="2" t="s">
        <v>387</v>
      </c>
      <c r="C126" s="2" t="s">
        <v>388</v>
      </c>
      <c r="D126" s="3">
        <v>11</v>
      </c>
    </row>
    <row r="127" spans="1:4" ht="30" x14ac:dyDescent="0.25">
      <c r="A127" s="2" t="s">
        <v>371</v>
      </c>
      <c r="B127" s="2" t="s">
        <v>387</v>
      </c>
      <c r="C127" s="2" t="s">
        <v>389</v>
      </c>
      <c r="D127" s="3">
        <v>10</v>
      </c>
    </row>
    <row r="128" spans="1:4" ht="30" x14ac:dyDescent="0.25">
      <c r="A128" s="2" t="s">
        <v>371</v>
      </c>
      <c r="B128" s="2" t="s">
        <v>387</v>
      </c>
      <c r="C128" s="2" t="s">
        <v>390</v>
      </c>
      <c r="D128" s="3">
        <v>8</v>
      </c>
    </row>
    <row r="129" spans="1:4" x14ac:dyDescent="0.25">
      <c r="A129" s="2" t="s">
        <v>371</v>
      </c>
      <c r="B129" s="2" t="s">
        <v>391</v>
      </c>
      <c r="C129" s="2" t="s">
        <v>392</v>
      </c>
      <c r="D129" s="3">
        <v>7</v>
      </c>
    </row>
    <row r="130" spans="1:4" x14ac:dyDescent="0.25">
      <c r="A130" s="2" t="s">
        <v>371</v>
      </c>
      <c r="B130" s="2" t="s">
        <v>391</v>
      </c>
      <c r="C130" s="2" t="s">
        <v>393</v>
      </c>
      <c r="D130" s="3">
        <v>6</v>
      </c>
    </row>
    <row r="131" spans="1:4" ht="30" x14ac:dyDescent="0.25">
      <c r="A131" s="2" t="s">
        <v>371</v>
      </c>
      <c r="B131" s="2" t="s">
        <v>391</v>
      </c>
      <c r="C131" s="2" t="s">
        <v>394</v>
      </c>
      <c r="D131" s="3">
        <v>8</v>
      </c>
    </row>
    <row r="132" spans="1:4" ht="30" x14ac:dyDescent="0.25">
      <c r="A132" s="2" t="s">
        <v>371</v>
      </c>
      <c r="B132" s="2" t="s">
        <v>395</v>
      </c>
      <c r="C132" s="2" t="s">
        <v>396</v>
      </c>
      <c r="D132" s="3">
        <v>7</v>
      </c>
    </row>
    <row r="133" spans="1:4" ht="30" x14ac:dyDescent="0.25">
      <c r="A133" s="2" t="s">
        <v>371</v>
      </c>
      <c r="B133" s="2" t="s">
        <v>395</v>
      </c>
      <c r="C133" s="2" t="s">
        <v>397</v>
      </c>
      <c r="D133" s="3">
        <v>6</v>
      </c>
    </row>
    <row r="134" spans="1:4" ht="30" x14ac:dyDescent="0.25">
      <c r="A134" s="2" t="s">
        <v>371</v>
      </c>
      <c r="B134" s="2" t="s">
        <v>395</v>
      </c>
      <c r="C134" s="2" t="s">
        <v>398</v>
      </c>
      <c r="D134" s="3">
        <v>7</v>
      </c>
    </row>
    <row r="135" spans="1:4" ht="30" x14ac:dyDescent="0.25">
      <c r="A135" s="2" t="s">
        <v>371</v>
      </c>
      <c r="B135" s="2" t="s">
        <v>395</v>
      </c>
      <c r="C135" s="2" t="s">
        <v>399</v>
      </c>
      <c r="D135" s="3">
        <v>7</v>
      </c>
    </row>
    <row r="136" spans="1:4" x14ac:dyDescent="0.25">
      <c r="C136" s="8" t="s">
        <v>400</v>
      </c>
      <c r="D136" s="14">
        <f>SUM(D3:D135)</f>
        <v>815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Inputs</vt:lpstr>
      <vt:lpstr>Scrum</vt:lpstr>
      <vt:lpstr>Kanban</vt:lpstr>
      <vt:lpstr>Scrumban</vt:lpstr>
      <vt:lpstr>XP + Scrumban</vt:lpstr>
      <vt:lpstr>Margen bruto</vt:lpstr>
      <vt:lpstr>ROI por metodología</vt:lpstr>
      <vt:lpstr>Riesgos</vt:lpstr>
      <vt:lpstr>Costos adicionales</vt:lpstr>
      <vt:lpstr>TMAR</vt:lpstr>
      <vt:lpstr>ROA</vt:lpstr>
      <vt:lpstr>Tareas (sin XP)</vt:lpstr>
      <vt:lpstr>Tareas (con XP)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 GARCIA, JOSUE EMANUEL</cp:lastModifiedBy>
  <dcterms:created xsi:type="dcterms:W3CDTF">2026-05-17T13:27:00Z</dcterms:created>
  <dcterms:modified xsi:type="dcterms:W3CDTF">2026-05-18T20:11:13Z</dcterms:modified>
</cp:coreProperties>
</file>